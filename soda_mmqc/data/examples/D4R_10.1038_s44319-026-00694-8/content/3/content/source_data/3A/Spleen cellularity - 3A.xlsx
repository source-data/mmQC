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1 Projects\Project U ... CMTM family\!!! Submission EMBO Reports\Source data\Figure 3\3A\"/>
    </mc:Choice>
  </mc:AlternateContent>
  <xr:revisionPtr revIDLastSave="0" documentId="13_ncr:1_{55603CBF-8032-4329-ACB1-E8AD945AF853}" xr6:coauthVersionLast="36" xr6:coauthVersionMax="36" xr10:uidLastSave="{00000000-0000-0000-0000-000000000000}"/>
  <bookViews>
    <workbookView xWindow="0" yWindow="0" windowWidth="23040" windowHeight="9060" xr2:uid="{E2F450C5-AB79-48CE-8EA3-2C5D2298023D}"/>
  </bookViews>
  <sheets>
    <sheet name="Figure_3A" sheetId="1" r:id="rId1"/>
  </sheets>
  <definedNames>
    <definedName name="_xlnm._FilterDatabase" localSheetId="0" hidden="1">Figure_3A!$B$2:$G$2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1" l="1"/>
  <c r="G8" i="1"/>
  <c r="G9" i="1"/>
  <c r="G10" i="1"/>
  <c r="G11" i="1"/>
  <c r="G12" i="1"/>
  <c r="G5" i="1"/>
  <c r="G6" i="1"/>
  <c r="G19" i="1"/>
  <c r="G20" i="1"/>
  <c r="G13" i="1"/>
  <c r="G14" i="1"/>
  <c r="G15" i="1"/>
  <c r="G21" i="1"/>
  <c r="G22" i="1"/>
  <c r="G23" i="1"/>
  <c r="G16" i="1"/>
  <c r="G24" i="1"/>
  <c r="G3" i="1"/>
  <c r="G4" i="1"/>
  <c r="G17" i="1"/>
  <c r="G18" i="1"/>
</calcChain>
</file>

<file path=xl/sharedStrings.xml><?xml version="1.0" encoding="utf-8"?>
<sst xmlns="http://schemas.openxmlformats.org/spreadsheetml/2006/main" count="50" uniqueCount="9">
  <si>
    <t>Mouse</t>
  </si>
  <si>
    <t>Organ</t>
  </si>
  <si>
    <t>Genotype</t>
  </si>
  <si>
    <t>SPL</t>
  </si>
  <si>
    <t>WT</t>
  </si>
  <si>
    <t>CMTM6 KO</t>
  </si>
  <si>
    <t>Volume (ul)</t>
  </si>
  <si>
    <t>Cellularity (n/ul)</t>
  </si>
  <si>
    <t>Amount of cells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</si>
</sst>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0C1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0" fillId="0" borderId="0" xfId="0" applyBorder="1"/>
    <xf numFmtId="2" fontId="0" fillId="2" borderId="2" xfId="0" applyNumberFormat="1" applyFill="1" applyBorder="1"/>
    <xf numFmtId="0" fontId="1" fillId="2" borderId="5" xfId="0" applyFont="1" applyFill="1" applyBorder="1"/>
    <xf numFmtId="2" fontId="0" fillId="2" borderId="6" xfId="0" applyNumberFormat="1" applyFill="1" applyBorder="1"/>
    <xf numFmtId="0" fontId="1" fillId="3" borderId="1" xfId="0" applyFont="1" applyFill="1" applyBorder="1"/>
    <xf numFmtId="2" fontId="0" fillId="3" borderId="2" xfId="0" applyNumberForma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right"/>
    </xf>
    <xf numFmtId="0" fontId="1" fillId="3" borderId="3" xfId="0" applyFont="1" applyFill="1" applyBorder="1"/>
    <xf numFmtId="2" fontId="0" fillId="3" borderId="4" xfId="0" applyNumberFormat="1" applyFill="1" applyBorder="1"/>
    <xf numFmtId="0" fontId="0" fillId="0" borderId="7" xfId="0" applyFill="1" applyBorder="1" applyAlignment="1">
      <alignment horizontal="center" wrapText="1"/>
    </xf>
    <xf numFmtId="0" fontId="0" fillId="0" borderId="8" xfId="0" applyFill="1" applyBorder="1" applyAlignment="1">
      <alignment horizontal="center" wrapText="1"/>
    </xf>
    <xf numFmtId="0" fontId="0" fillId="0" borderId="9" xfId="0" applyFill="1" applyBorder="1" applyAlignment="1">
      <alignment horizontal="center" wrapText="1"/>
    </xf>
    <xf numFmtId="0" fontId="1" fillId="2" borderId="10" xfId="0" applyFont="1" applyFill="1" applyBorder="1"/>
    <xf numFmtId="0" fontId="1" fillId="2" borderId="11" xfId="0" applyFont="1" applyFill="1" applyBorder="1"/>
    <xf numFmtId="0" fontId="2" fillId="2" borderId="11" xfId="0" applyFont="1" applyFill="1" applyBorder="1"/>
    <xf numFmtId="0" fontId="1" fillId="3" borderId="11" xfId="0" applyFont="1" applyFill="1" applyBorder="1"/>
    <xf numFmtId="0" fontId="2" fillId="3" borderId="11" xfId="0" applyFont="1" applyFill="1" applyBorder="1"/>
    <xf numFmtId="0" fontId="1" fillId="3" borderId="1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6CDFF"/>
      <color rgb="FFDCB9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A286-F1ED-4B1E-A1F0-86DD760927EF}">
  <dimension ref="B1:Z27"/>
  <sheetViews>
    <sheetView tabSelected="1" zoomScaleNormal="100" workbookViewId="0"/>
  </sheetViews>
  <sheetFormatPr defaultRowHeight="15" x14ac:dyDescent="0.25"/>
  <cols>
    <col min="4" max="4" width="15.140625" bestFit="1" customWidth="1"/>
    <col min="6" max="6" width="12.7109375" bestFit="1" customWidth="1"/>
    <col min="7" max="7" width="13.7109375" bestFit="1" customWidth="1"/>
    <col min="11" max="11" width="13.85546875" bestFit="1" customWidth="1"/>
    <col min="17" max="18" width="13.85546875" bestFit="1" customWidth="1"/>
    <col min="24" max="25" width="10.5703125" bestFit="1" customWidth="1"/>
  </cols>
  <sheetData>
    <row r="1" spans="2:26" ht="15.75" thickBot="1" x14ac:dyDescent="0.3"/>
    <row r="2" spans="2:26" ht="30.75" thickBot="1" x14ac:dyDescent="0.3">
      <c r="B2" s="17" t="s">
        <v>0</v>
      </c>
      <c r="C2" s="15" t="s">
        <v>1</v>
      </c>
      <c r="D2" s="15" t="s">
        <v>2</v>
      </c>
      <c r="E2" s="15" t="s">
        <v>6</v>
      </c>
      <c r="F2" s="15" t="s">
        <v>8</v>
      </c>
      <c r="G2" s="16" t="s">
        <v>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U2" s="1"/>
      <c r="V2" s="1"/>
      <c r="W2" s="1"/>
      <c r="X2" s="1"/>
      <c r="Y2" s="1"/>
      <c r="Z2" s="1"/>
    </row>
    <row r="3" spans="2:26" x14ac:dyDescent="0.25">
      <c r="B3" s="18">
        <v>22222</v>
      </c>
      <c r="C3" s="7" t="s">
        <v>3</v>
      </c>
      <c r="D3" s="7" t="s">
        <v>4</v>
      </c>
      <c r="E3" s="7">
        <v>120.21</v>
      </c>
      <c r="F3" s="7">
        <v>606440</v>
      </c>
      <c r="G3" s="8">
        <f t="shared" ref="G3:G24" si="0">F3/E3</f>
        <v>5044.8381998169871</v>
      </c>
    </row>
    <row r="4" spans="2:26" x14ac:dyDescent="0.25">
      <c r="B4" s="19">
        <v>22225</v>
      </c>
      <c r="C4" s="2" t="s">
        <v>3</v>
      </c>
      <c r="D4" s="2" t="s">
        <v>4</v>
      </c>
      <c r="E4" s="2">
        <v>120.23</v>
      </c>
      <c r="F4" s="2">
        <v>743200</v>
      </c>
      <c r="G4" s="6">
        <f t="shared" si="0"/>
        <v>6181.4854861515423</v>
      </c>
    </row>
    <row r="5" spans="2:26" x14ac:dyDescent="0.25">
      <c r="B5" s="19">
        <v>22255</v>
      </c>
      <c r="C5" s="3" t="s">
        <v>3</v>
      </c>
      <c r="D5" s="3" t="s">
        <v>4</v>
      </c>
      <c r="E5" s="2">
        <v>42.47</v>
      </c>
      <c r="F5" s="2">
        <v>1000000</v>
      </c>
      <c r="G5" s="6">
        <f t="shared" si="0"/>
        <v>23546.032493524843</v>
      </c>
    </row>
    <row r="6" spans="2:26" x14ac:dyDescent="0.25">
      <c r="B6" s="19">
        <v>22252</v>
      </c>
      <c r="C6" s="3" t="s">
        <v>3</v>
      </c>
      <c r="D6" s="3" t="s">
        <v>4</v>
      </c>
      <c r="E6" s="2">
        <v>61.26</v>
      </c>
      <c r="F6" s="2">
        <v>1000000</v>
      </c>
      <c r="G6" s="6">
        <f t="shared" si="0"/>
        <v>16323.865491348351</v>
      </c>
    </row>
    <row r="7" spans="2:26" x14ac:dyDescent="0.25">
      <c r="B7" s="19">
        <v>67467</v>
      </c>
      <c r="C7" s="2" t="s">
        <v>3</v>
      </c>
      <c r="D7" s="2" t="s">
        <v>4</v>
      </c>
      <c r="E7" s="4">
        <v>26.09</v>
      </c>
      <c r="F7" s="4">
        <v>577720</v>
      </c>
      <c r="G7" s="6">
        <f t="shared" si="0"/>
        <v>22143.349942506709</v>
      </c>
    </row>
    <row r="8" spans="2:26" x14ac:dyDescent="0.25">
      <c r="B8" s="19">
        <v>67437</v>
      </c>
      <c r="C8" s="2" t="s">
        <v>3</v>
      </c>
      <c r="D8" s="2" t="s">
        <v>4</v>
      </c>
      <c r="E8" s="4">
        <v>49.79</v>
      </c>
      <c r="F8" s="4">
        <v>1000000</v>
      </c>
      <c r="G8" s="6">
        <f t="shared" si="0"/>
        <v>20084.354288009639</v>
      </c>
    </row>
    <row r="9" spans="2:26" x14ac:dyDescent="0.25">
      <c r="B9" s="19">
        <v>67449</v>
      </c>
      <c r="C9" s="2" t="s">
        <v>3</v>
      </c>
      <c r="D9" s="2" t="s">
        <v>4</v>
      </c>
      <c r="E9" s="4">
        <v>33.590000000000003</v>
      </c>
      <c r="F9" s="4">
        <v>1000000</v>
      </c>
      <c r="G9" s="6">
        <f t="shared" si="0"/>
        <v>29770.76510866329</v>
      </c>
    </row>
    <row r="10" spans="2:26" x14ac:dyDescent="0.25">
      <c r="B10" s="19">
        <v>67452</v>
      </c>
      <c r="C10" s="3" t="s">
        <v>3</v>
      </c>
      <c r="D10" s="3" t="s">
        <v>4</v>
      </c>
      <c r="E10" s="4">
        <v>118.37</v>
      </c>
      <c r="F10" s="4">
        <v>1000000</v>
      </c>
      <c r="G10" s="6">
        <f t="shared" si="0"/>
        <v>8448.086508405846</v>
      </c>
    </row>
    <row r="11" spans="2:26" x14ac:dyDescent="0.25">
      <c r="B11" s="19">
        <v>67459</v>
      </c>
      <c r="C11" s="3" t="s">
        <v>3</v>
      </c>
      <c r="D11" s="3" t="s">
        <v>4</v>
      </c>
      <c r="E11" s="4">
        <v>69.3</v>
      </c>
      <c r="F11" s="4">
        <v>1080536</v>
      </c>
      <c r="G11" s="6">
        <f t="shared" si="0"/>
        <v>15592.150072150072</v>
      </c>
    </row>
    <row r="12" spans="2:26" x14ac:dyDescent="0.25">
      <c r="B12" s="19">
        <v>67440</v>
      </c>
      <c r="C12" s="3" t="s">
        <v>3</v>
      </c>
      <c r="D12" s="3" t="s">
        <v>4</v>
      </c>
      <c r="E12" s="4">
        <v>121.09</v>
      </c>
      <c r="F12" s="4">
        <v>936480</v>
      </c>
      <c r="G12" s="6">
        <f t="shared" si="0"/>
        <v>7733.7517548930546</v>
      </c>
    </row>
    <row r="13" spans="2:26" x14ac:dyDescent="0.25">
      <c r="B13" s="20">
        <v>67506</v>
      </c>
      <c r="C13" s="3" t="s">
        <v>3</v>
      </c>
      <c r="D13" s="3" t="s">
        <v>4</v>
      </c>
      <c r="E13" s="4">
        <v>46.6</v>
      </c>
      <c r="F13" s="4">
        <v>1000000</v>
      </c>
      <c r="G13" s="6">
        <f t="shared" si="0"/>
        <v>21459.227467811157</v>
      </c>
    </row>
    <row r="14" spans="2:26" x14ac:dyDescent="0.25">
      <c r="B14" s="20">
        <v>67671</v>
      </c>
      <c r="C14" s="3" t="s">
        <v>3</v>
      </c>
      <c r="D14" s="3" t="s">
        <v>4</v>
      </c>
      <c r="E14" s="4">
        <v>35.26</v>
      </c>
      <c r="F14" s="4">
        <v>1000000</v>
      </c>
      <c r="G14" s="6">
        <f t="shared" si="0"/>
        <v>28360.748723766308</v>
      </c>
    </row>
    <row r="15" spans="2:26" x14ac:dyDescent="0.25">
      <c r="B15" s="20">
        <v>67672</v>
      </c>
      <c r="C15" s="3" t="s">
        <v>3</v>
      </c>
      <c r="D15" s="3" t="s">
        <v>4</v>
      </c>
      <c r="E15" s="4">
        <v>59.17</v>
      </c>
      <c r="F15" s="4">
        <v>1000000</v>
      </c>
      <c r="G15" s="6">
        <f t="shared" si="0"/>
        <v>16900.456312320432</v>
      </c>
    </row>
    <row r="16" spans="2:26" x14ac:dyDescent="0.25">
      <c r="B16" s="19">
        <v>71629</v>
      </c>
      <c r="C16" s="2" t="s">
        <v>3</v>
      </c>
      <c r="D16" s="2" t="s">
        <v>4</v>
      </c>
      <c r="E16" s="2">
        <v>116.26</v>
      </c>
      <c r="F16" s="2">
        <v>1000000</v>
      </c>
      <c r="G16" s="6">
        <f t="shared" si="0"/>
        <v>8601.4106313435404</v>
      </c>
    </row>
    <row r="17" spans="2:7" x14ac:dyDescent="0.25">
      <c r="B17" s="21">
        <v>22226</v>
      </c>
      <c r="C17" s="9" t="s">
        <v>3</v>
      </c>
      <c r="D17" s="9" t="s">
        <v>5</v>
      </c>
      <c r="E17" s="9">
        <v>120.46</v>
      </c>
      <c r="F17" s="9">
        <v>329952</v>
      </c>
      <c r="G17" s="10">
        <f t="shared" si="0"/>
        <v>2739.1001162211523</v>
      </c>
    </row>
    <row r="18" spans="2:7" x14ac:dyDescent="0.25">
      <c r="B18" s="21">
        <v>22221</v>
      </c>
      <c r="C18" s="9" t="s">
        <v>3</v>
      </c>
      <c r="D18" s="9" t="s">
        <v>5</v>
      </c>
      <c r="E18" s="9">
        <v>120.05</v>
      </c>
      <c r="F18" s="9">
        <v>817952</v>
      </c>
      <c r="G18" s="10">
        <f t="shared" si="0"/>
        <v>6813.4277384423158</v>
      </c>
    </row>
    <row r="19" spans="2:7" x14ac:dyDescent="0.25">
      <c r="B19" s="21">
        <v>22256</v>
      </c>
      <c r="C19" s="11" t="s">
        <v>3</v>
      </c>
      <c r="D19" s="9" t="s">
        <v>5</v>
      </c>
      <c r="E19" s="9">
        <v>121.2</v>
      </c>
      <c r="F19" s="9">
        <v>924752</v>
      </c>
      <c r="G19" s="10">
        <f t="shared" si="0"/>
        <v>7629.9669966996698</v>
      </c>
    </row>
    <row r="20" spans="2:7" x14ac:dyDescent="0.25">
      <c r="B20" s="21">
        <v>22253</v>
      </c>
      <c r="C20" s="11" t="s">
        <v>3</v>
      </c>
      <c r="D20" s="11" t="s">
        <v>5</v>
      </c>
      <c r="E20" s="9">
        <v>121</v>
      </c>
      <c r="F20" s="9">
        <v>955096</v>
      </c>
      <c r="G20" s="10">
        <f t="shared" si="0"/>
        <v>7893.3553719008269</v>
      </c>
    </row>
    <row r="21" spans="2:7" x14ac:dyDescent="0.25">
      <c r="B21" s="22">
        <v>67504</v>
      </c>
      <c r="C21" s="11" t="s">
        <v>3</v>
      </c>
      <c r="D21" s="9" t="s">
        <v>5</v>
      </c>
      <c r="E21" s="12">
        <v>36.94</v>
      </c>
      <c r="F21" s="12">
        <v>1000000</v>
      </c>
      <c r="G21" s="10">
        <f t="shared" si="0"/>
        <v>27070.925825663238</v>
      </c>
    </row>
    <row r="22" spans="2:7" x14ac:dyDescent="0.25">
      <c r="B22" s="22">
        <v>67505</v>
      </c>
      <c r="C22" s="11" t="s">
        <v>3</v>
      </c>
      <c r="D22" s="9" t="s">
        <v>5</v>
      </c>
      <c r="E22" s="12">
        <v>26.88</v>
      </c>
      <c r="F22" s="12">
        <v>1000000</v>
      </c>
      <c r="G22" s="10">
        <f t="shared" si="0"/>
        <v>37202.380952380954</v>
      </c>
    </row>
    <row r="23" spans="2:7" x14ac:dyDescent="0.25">
      <c r="B23" s="22">
        <v>67508</v>
      </c>
      <c r="C23" s="11" t="s">
        <v>3</v>
      </c>
      <c r="D23" s="9" t="s">
        <v>5</v>
      </c>
      <c r="E23" s="12">
        <v>70.34</v>
      </c>
      <c r="F23" s="12">
        <v>1000000</v>
      </c>
      <c r="G23" s="10">
        <f t="shared" si="0"/>
        <v>14216.661927779356</v>
      </c>
    </row>
    <row r="24" spans="2:7" ht="15.75" thickBot="1" x14ac:dyDescent="0.3">
      <c r="B24" s="23">
        <v>71628</v>
      </c>
      <c r="C24" s="13" t="s">
        <v>3</v>
      </c>
      <c r="D24" s="13" t="s">
        <v>5</v>
      </c>
      <c r="E24" s="13">
        <v>120.1</v>
      </c>
      <c r="F24" s="13">
        <v>642472</v>
      </c>
      <c r="G24" s="14">
        <f t="shared" si="0"/>
        <v>5349.4754371357203</v>
      </c>
    </row>
    <row r="25" spans="2:7" x14ac:dyDescent="0.25">
      <c r="B25" s="5"/>
      <c r="C25" s="5"/>
      <c r="D25" s="5"/>
      <c r="E25" s="5"/>
      <c r="F25" s="5"/>
      <c r="G25" s="5"/>
    </row>
    <row r="26" spans="2:7" x14ac:dyDescent="0.25">
      <c r="B26" s="5"/>
      <c r="C26" s="5"/>
      <c r="D26" s="5"/>
      <c r="E26" s="5"/>
      <c r="F26" s="5"/>
      <c r="G26" s="5"/>
    </row>
    <row r="27" spans="2:7" x14ac:dyDescent="0.25">
      <c r="B27" s="5"/>
      <c r="C27" s="5"/>
      <c r="D27" s="5"/>
      <c r="E27" s="5"/>
      <c r="F27" s="5"/>
      <c r="G27" s="5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Figure_3A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DLab03</dc:creator>
  <cp:lastModifiedBy>Draber</cp:lastModifiedBy>
  <cp:lastPrinted>2024-10-21T07:13:58Z</cp:lastPrinted>
  <dcterms:created xsi:type="dcterms:W3CDTF">2024-10-21T07:04:31Z</dcterms:created>
  <dcterms:modified xsi:type="dcterms:W3CDTF">2025-11-07T20:55:55Z</dcterms:modified>
</cp:coreProperties>
</file>