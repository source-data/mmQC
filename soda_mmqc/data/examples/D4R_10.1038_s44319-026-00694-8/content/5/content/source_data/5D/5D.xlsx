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5\5D\"/>
    </mc:Choice>
  </mc:AlternateContent>
  <xr:revisionPtr revIDLastSave="0" documentId="13_ncr:1_{29E1C6FB-5A49-4B71-9C3B-32C4A85AA58F}" xr6:coauthVersionLast="36" xr6:coauthVersionMax="36" xr10:uidLastSave="{00000000-0000-0000-0000-000000000000}"/>
  <bookViews>
    <workbookView xWindow="0" yWindow="0" windowWidth="28770" windowHeight="11820" xr2:uid="{CEFBD549-CB44-4D2F-9E67-64460B10E8E4}"/>
  </bookViews>
  <sheets>
    <sheet name="Figure_5D" sheetId="2" r:id="rId1"/>
  </sheets>
  <definedNames>
    <definedName name="_xlnm._FilterDatabase" localSheetId="0" hidden="1">Figure_5D!$B$2:$E$2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1" i="2" l="1"/>
  <c r="V11" i="2"/>
  <c r="T12" i="2"/>
  <c r="S8" i="2"/>
  <c r="M13" i="2"/>
  <c r="Q13" i="2"/>
  <c r="P13" i="2"/>
  <c r="O13" i="2"/>
  <c r="N13" i="2"/>
  <c r="L13" i="2"/>
  <c r="K13" i="2"/>
  <c r="J13" i="2"/>
  <c r="U12" i="2"/>
  <c r="S12" i="2"/>
  <c r="R12" i="2"/>
  <c r="U11" i="2"/>
  <c r="T11" i="2"/>
  <c r="S11" i="2"/>
  <c r="R11" i="2"/>
  <c r="U10" i="2"/>
  <c r="T10" i="2"/>
  <c r="S10" i="2"/>
  <c r="R10" i="2"/>
  <c r="U9" i="2"/>
  <c r="T9" i="2"/>
  <c r="S9" i="2"/>
  <c r="R9" i="2"/>
  <c r="U8" i="2"/>
  <c r="T8" i="2"/>
  <c r="R8" i="2"/>
  <c r="R13" i="2" s="1"/>
  <c r="V10" i="2" l="1"/>
  <c r="V8" i="2"/>
  <c r="V13" i="2" s="1"/>
  <c r="W10" i="2"/>
  <c r="W12" i="2"/>
  <c r="W9" i="2"/>
  <c r="W8" i="2"/>
  <c r="W11" i="2"/>
  <c r="X8" i="2"/>
  <c r="V9" i="2"/>
  <c r="V12" i="2"/>
  <c r="T13" i="2"/>
  <c r="U13" i="2"/>
  <c r="S13" i="2"/>
  <c r="X10" i="2" l="1"/>
  <c r="Y12" i="2"/>
  <c r="Y9" i="2"/>
  <c r="Y11" i="2"/>
  <c r="Y8" i="2"/>
  <c r="X12" i="2"/>
  <c r="X9" i="2"/>
  <c r="Y10" i="2"/>
  <c r="W13" i="2"/>
  <c r="X13" i="2"/>
  <c r="Y13" i="2" l="1"/>
</calcChain>
</file>

<file path=xl/sharedStrings.xml><?xml version="1.0" encoding="utf-8"?>
<sst xmlns="http://schemas.openxmlformats.org/spreadsheetml/2006/main" count="106" uniqueCount="17">
  <si>
    <t>Experiment</t>
  </si>
  <si>
    <t>Stain</t>
  </si>
  <si>
    <t>Cell line</t>
  </si>
  <si>
    <t>unst</t>
  </si>
  <si>
    <r>
      <t>CMTM6 KO</t>
    </r>
    <r>
      <rPr>
        <sz val="11"/>
        <color theme="1"/>
        <rFont val="Calibri"/>
        <family val="2"/>
        <charset val="238"/>
      </rPr>
      <t>#1+CMTM6</t>
    </r>
  </si>
  <si>
    <t>CMTM6 KO#1+CMTM6</t>
  </si>
  <si>
    <t>CMTM6 KO#2+CMTM6</t>
  </si>
  <si>
    <r>
      <t>CMTM6 KO</t>
    </r>
    <r>
      <rPr>
        <sz val="11"/>
        <color theme="1"/>
        <rFont val="Calibri"/>
        <family val="2"/>
        <charset val="238"/>
      </rPr>
      <t>#1+EV</t>
    </r>
  </si>
  <si>
    <t>CMTM6 KO#1+EV</t>
  </si>
  <si>
    <t>CMTM6 KO#2+EV</t>
  </si>
  <si>
    <t>FAS</t>
  </si>
  <si>
    <t>Unstained</t>
  </si>
  <si>
    <t>Normal to EV</t>
  </si>
  <si>
    <t>Exp</t>
  </si>
  <si>
    <t>Average</t>
  </si>
  <si>
    <t>FAS-Unst.</t>
  </si>
  <si>
    <t>Surface FAS (MFI)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</si>
</sst>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E8D1FF"/>
        <bgColor indexed="64"/>
      </patternFill>
    </fill>
    <fill>
      <patternFill patternType="solid">
        <fgColor rgb="FFABE9FF"/>
        <bgColor indexed="64"/>
      </patternFill>
    </fill>
  </fills>
  <borders count="4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Fill="1" applyBorder="1"/>
    <xf numFmtId="1" fontId="0" fillId="0" borderId="0" xfId="0" applyNumberFormat="1" applyFill="1" applyBorder="1"/>
    <xf numFmtId="0" fontId="0" fillId="0" borderId="0" xfId="0" applyBorder="1"/>
    <xf numFmtId="0" fontId="0" fillId="3" borderId="3" xfId="0" applyFill="1" applyBorder="1"/>
    <xf numFmtId="0" fontId="0" fillId="2" borderId="3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1" fillId="0" borderId="15" xfId="0" applyNumberFormat="1" applyFont="1" applyBorder="1" applyAlignment="1">
      <alignment wrapText="1"/>
    </xf>
    <xf numFmtId="0" fontId="1" fillId="0" borderId="16" xfId="0" applyNumberFormat="1" applyFont="1" applyBorder="1" applyAlignment="1">
      <alignment wrapText="1"/>
    </xf>
    <xf numFmtId="0" fontId="1" fillId="0" borderId="17" xfId="0" applyNumberFormat="1" applyFont="1" applyBorder="1" applyAlignment="1">
      <alignment wrapText="1"/>
    </xf>
    <xf numFmtId="2" fontId="0" fillId="2" borderId="3" xfId="0" applyNumberFormat="1" applyFill="1" applyBorder="1"/>
    <xf numFmtId="2" fontId="0" fillId="3" borderId="3" xfId="0" applyNumberFormat="1" applyFill="1" applyBorder="1"/>
    <xf numFmtId="0" fontId="0" fillId="2" borderId="5" xfId="0" applyFill="1" applyBorder="1"/>
    <xf numFmtId="0" fontId="0" fillId="3" borderId="5" xfId="0" applyFill="1" applyBorder="1"/>
    <xf numFmtId="0" fontId="0" fillId="3" borderId="6" xfId="0" applyFill="1" applyBorder="1"/>
    <xf numFmtId="2" fontId="0" fillId="3" borderId="8" xfId="0" applyNumberFormat="1" applyFill="1" applyBorder="1"/>
    <xf numFmtId="2" fontId="0" fillId="2" borderId="10" xfId="0" applyNumberFormat="1" applyFill="1" applyBorder="1"/>
    <xf numFmtId="2" fontId="0" fillId="3" borderId="10" xfId="0" applyNumberFormat="1" applyFill="1" applyBorder="1"/>
    <xf numFmtId="2" fontId="0" fillId="3" borderId="11" xfId="0" applyNumberFormat="1" applyFill="1" applyBorder="1"/>
    <xf numFmtId="0" fontId="0" fillId="2" borderId="19" xfId="0" applyFill="1" applyBorder="1"/>
    <xf numFmtId="0" fontId="0" fillId="3" borderId="19" xfId="0" applyFill="1" applyBorder="1"/>
    <xf numFmtId="0" fontId="0" fillId="3" borderId="20" xfId="0" applyFill="1" applyBorder="1"/>
    <xf numFmtId="1" fontId="0" fillId="2" borderId="22" xfId="0" applyNumberFormat="1" applyFill="1" applyBorder="1"/>
    <xf numFmtId="1" fontId="0" fillId="3" borderId="22" xfId="0" applyNumberFormat="1" applyFill="1" applyBorder="1"/>
    <xf numFmtId="2" fontId="0" fillId="2" borderId="22" xfId="0" applyNumberFormat="1" applyFill="1" applyBorder="1"/>
    <xf numFmtId="2" fontId="0" fillId="3" borderId="22" xfId="0" applyNumberFormat="1" applyFill="1" applyBorder="1"/>
    <xf numFmtId="2" fontId="0" fillId="3" borderId="23" xfId="0" applyNumberFormat="1" applyFill="1" applyBorder="1"/>
    <xf numFmtId="2" fontId="0" fillId="2" borderId="5" xfId="0" applyNumberFormat="1" applyFill="1" applyBorder="1"/>
    <xf numFmtId="2" fontId="0" fillId="3" borderId="5" xfId="0" applyNumberFormat="1" applyFill="1" applyBorder="1"/>
    <xf numFmtId="2" fontId="0" fillId="3" borderId="6" xfId="0" applyNumberFormat="1" applyFill="1" applyBorder="1"/>
    <xf numFmtId="0" fontId="0" fillId="3" borderId="10" xfId="0" applyFill="1" applyBorder="1"/>
    <xf numFmtId="0" fontId="0" fillId="0" borderId="24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27" xfId="0" applyFill="1" applyBorder="1"/>
    <xf numFmtId="0" fontId="0" fillId="0" borderId="28" xfId="0" applyFill="1" applyBorder="1"/>
    <xf numFmtId="0" fontId="0" fillId="0" borderId="29" xfId="0" applyFill="1" applyBorder="1"/>
    <xf numFmtId="0" fontId="0" fillId="0" borderId="30" xfId="0" applyFill="1" applyBorder="1"/>
    <xf numFmtId="0" fontId="0" fillId="0" borderId="31" xfId="0" applyFill="1" applyBorder="1"/>
    <xf numFmtId="0" fontId="0" fillId="2" borderId="32" xfId="0" applyFill="1" applyBorder="1"/>
    <xf numFmtId="0" fontId="0" fillId="2" borderId="33" xfId="0" applyFill="1" applyBorder="1"/>
    <xf numFmtId="0" fontId="0" fillId="2" borderId="1" xfId="0" applyFill="1" applyBorder="1"/>
    <xf numFmtId="0" fontId="0" fillId="2" borderId="34" xfId="0" applyFill="1" applyBorder="1"/>
    <xf numFmtId="1" fontId="0" fillId="2" borderId="35" xfId="0" applyNumberFormat="1" applyFill="1" applyBorder="1"/>
    <xf numFmtId="0" fontId="0" fillId="2" borderId="18" xfId="0" applyFill="1" applyBorder="1"/>
    <xf numFmtId="0" fontId="0" fillId="2" borderId="4" xfId="0" applyFill="1" applyBorder="1"/>
    <xf numFmtId="0" fontId="0" fillId="3" borderId="11" xfId="0" applyFill="1" applyBorder="1"/>
    <xf numFmtId="1" fontId="0" fillId="2" borderId="21" xfId="0" applyNumberFormat="1" applyFill="1" applyBorder="1"/>
    <xf numFmtId="1" fontId="0" fillId="3" borderId="23" xfId="0" applyNumberFormat="1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2" xfId="0" applyFill="1" applyBorder="1"/>
    <xf numFmtId="0" fontId="0" fillId="3" borderId="38" xfId="0" applyFill="1" applyBorder="1"/>
    <xf numFmtId="1" fontId="0" fillId="3" borderId="39" xfId="0" applyNumberFormat="1" applyFill="1" applyBorder="1"/>
    <xf numFmtId="2" fontId="0" fillId="2" borderId="33" xfId="0" applyNumberFormat="1" applyFill="1" applyBorder="1"/>
    <xf numFmtId="2" fontId="0" fillId="2" borderId="1" xfId="0" applyNumberFormat="1" applyFill="1" applyBorder="1"/>
    <xf numFmtId="2" fontId="0" fillId="2" borderId="34" xfId="0" applyNumberFormat="1" applyFill="1" applyBorder="1"/>
    <xf numFmtId="2" fontId="0" fillId="2" borderId="3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BE9FF"/>
      <color rgb="FFE8D1FF"/>
      <color rgb="FFDBB7FF"/>
      <color rgb="FFCC99FF"/>
      <color rgb="FF8FE2FF"/>
      <color rgb="FF71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788A-CB3F-4340-BF17-2F7F90EE3E2E}">
  <dimension ref="B1:Y42"/>
  <sheetViews>
    <sheetView tabSelected="1" workbookViewId="0"/>
  </sheetViews>
  <sheetFormatPr defaultRowHeight="15" x14ac:dyDescent="0.25"/>
  <cols>
    <col min="2" max="2" width="11.28515625" bestFit="1" customWidth="1"/>
    <col min="3" max="3" width="19.85546875" bestFit="1" customWidth="1"/>
    <col min="4" max="4" width="5.42578125" bestFit="1" customWidth="1"/>
    <col min="5" max="5" width="17.140625" customWidth="1"/>
    <col min="10" max="10" width="15.42578125" bestFit="1" customWidth="1"/>
    <col min="11" max="11" width="19.85546875" bestFit="1" customWidth="1"/>
    <col min="12" max="12" width="15.42578125" bestFit="1" customWidth="1"/>
    <col min="13" max="13" width="19.85546875" bestFit="1" customWidth="1"/>
    <col min="14" max="14" width="15.42578125" bestFit="1" customWidth="1"/>
    <col min="15" max="15" width="19.85546875" bestFit="1" customWidth="1"/>
    <col min="16" max="16" width="15.42578125" bestFit="1" customWidth="1"/>
    <col min="17" max="17" width="19.85546875" bestFit="1" customWidth="1"/>
    <col min="18" max="18" width="15.42578125" bestFit="1" customWidth="1"/>
    <col min="19" max="19" width="19.85546875" bestFit="1" customWidth="1"/>
    <col min="20" max="20" width="15.42578125" bestFit="1" customWidth="1"/>
    <col min="21" max="21" width="19.85546875" bestFit="1" customWidth="1"/>
    <col min="22" max="22" width="15.42578125" bestFit="1" customWidth="1"/>
    <col min="23" max="23" width="19.85546875" bestFit="1" customWidth="1"/>
    <col min="24" max="24" width="15.42578125" bestFit="1" customWidth="1"/>
    <col min="25" max="25" width="19.85546875" bestFit="1" customWidth="1"/>
  </cols>
  <sheetData>
    <row r="1" spans="2:25" ht="15.75" thickBot="1" x14ac:dyDescent="0.3"/>
    <row r="2" spans="2:25" ht="15.75" thickBot="1" x14ac:dyDescent="0.3">
      <c r="B2" s="16" t="s">
        <v>0</v>
      </c>
      <c r="C2" s="17" t="s">
        <v>2</v>
      </c>
      <c r="D2" s="17" t="s">
        <v>1</v>
      </c>
      <c r="E2" s="18" t="s">
        <v>16</v>
      </c>
    </row>
    <row r="3" spans="2:25" x14ac:dyDescent="0.25">
      <c r="B3" s="13">
        <v>1</v>
      </c>
      <c r="C3" s="14" t="s">
        <v>4</v>
      </c>
      <c r="D3" s="14" t="s">
        <v>3</v>
      </c>
      <c r="E3" s="15">
        <v>873</v>
      </c>
    </row>
    <row r="4" spans="2:25" x14ac:dyDescent="0.25">
      <c r="B4" s="6">
        <v>2</v>
      </c>
      <c r="C4" s="4" t="s">
        <v>5</v>
      </c>
      <c r="D4" s="4" t="s">
        <v>3</v>
      </c>
      <c r="E4" s="7">
        <v>825</v>
      </c>
    </row>
    <row r="5" spans="2:25" ht="15.75" thickBot="1" x14ac:dyDescent="0.3">
      <c r="B5" s="6">
        <v>3</v>
      </c>
      <c r="C5" s="4" t="s">
        <v>5</v>
      </c>
      <c r="D5" s="4" t="s">
        <v>3</v>
      </c>
      <c r="E5" s="7">
        <v>956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2:25" ht="15.75" thickBot="1" x14ac:dyDescent="0.3">
      <c r="B6" s="6">
        <v>4</v>
      </c>
      <c r="C6" s="4" t="s">
        <v>5</v>
      </c>
      <c r="D6" s="4" t="s">
        <v>3</v>
      </c>
      <c r="E6" s="7">
        <v>981</v>
      </c>
      <c r="G6" s="3"/>
      <c r="H6" s="1"/>
      <c r="I6" s="1"/>
      <c r="J6" s="40" t="s">
        <v>11</v>
      </c>
      <c r="K6" s="41"/>
      <c r="L6" s="41"/>
      <c r="M6" s="42"/>
      <c r="N6" s="41" t="s">
        <v>10</v>
      </c>
      <c r="O6" s="41"/>
      <c r="P6" s="41"/>
      <c r="Q6" s="41"/>
      <c r="R6" s="40" t="s">
        <v>15</v>
      </c>
      <c r="S6" s="41"/>
      <c r="T6" s="41"/>
      <c r="U6" s="42"/>
      <c r="V6" s="41" t="s">
        <v>12</v>
      </c>
      <c r="W6" s="41"/>
      <c r="X6" s="41"/>
      <c r="Y6" s="42"/>
    </row>
    <row r="7" spans="2:25" ht="15.75" thickBot="1" x14ac:dyDescent="0.3">
      <c r="B7" s="6">
        <v>5</v>
      </c>
      <c r="C7" s="4" t="s">
        <v>5</v>
      </c>
      <c r="D7" s="4" t="s">
        <v>3</v>
      </c>
      <c r="E7" s="7">
        <v>1070</v>
      </c>
      <c r="G7" s="3"/>
      <c r="H7" s="1"/>
      <c r="I7" s="43" t="s">
        <v>13</v>
      </c>
      <c r="J7" s="53" t="s">
        <v>7</v>
      </c>
      <c r="K7" s="29" t="s">
        <v>4</v>
      </c>
      <c r="L7" s="28" t="s">
        <v>9</v>
      </c>
      <c r="M7" s="30" t="s">
        <v>6</v>
      </c>
      <c r="N7" s="48" t="s">
        <v>7</v>
      </c>
      <c r="O7" s="29" t="s">
        <v>4</v>
      </c>
      <c r="P7" s="28" t="s">
        <v>9</v>
      </c>
      <c r="Q7" s="58" t="s">
        <v>6</v>
      </c>
      <c r="R7" s="53" t="s">
        <v>7</v>
      </c>
      <c r="S7" s="29" t="s">
        <v>4</v>
      </c>
      <c r="T7" s="28" t="s">
        <v>9</v>
      </c>
      <c r="U7" s="30" t="s">
        <v>6</v>
      </c>
      <c r="V7" s="48" t="s">
        <v>7</v>
      </c>
      <c r="W7" s="29" t="s">
        <v>4</v>
      </c>
      <c r="X7" s="28" t="s">
        <v>9</v>
      </c>
      <c r="Y7" s="30" t="s">
        <v>6</v>
      </c>
    </row>
    <row r="8" spans="2:25" x14ac:dyDescent="0.25">
      <c r="B8" s="8">
        <v>1</v>
      </c>
      <c r="C8" s="5" t="s">
        <v>7</v>
      </c>
      <c r="D8" s="5" t="s">
        <v>3</v>
      </c>
      <c r="E8" s="9">
        <v>858</v>
      </c>
      <c r="G8" s="3"/>
      <c r="H8" s="1"/>
      <c r="I8" s="44">
        <v>1</v>
      </c>
      <c r="J8" s="54">
        <v>858</v>
      </c>
      <c r="K8" s="22">
        <v>873</v>
      </c>
      <c r="L8" s="21">
        <v>613</v>
      </c>
      <c r="M8" s="23">
        <v>664</v>
      </c>
      <c r="N8" s="49">
        <v>20750</v>
      </c>
      <c r="O8" s="22">
        <v>13355</v>
      </c>
      <c r="P8" s="21">
        <v>13887</v>
      </c>
      <c r="Q8" s="59">
        <v>10658</v>
      </c>
      <c r="R8" s="54">
        <f t="shared" ref="R8:U12" si="0">N8-J8</f>
        <v>19892</v>
      </c>
      <c r="S8" s="22">
        <f>O8-K8</f>
        <v>12482</v>
      </c>
      <c r="T8" s="21">
        <f t="shared" si="0"/>
        <v>13274</v>
      </c>
      <c r="U8" s="23">
        <f t="shared" si="0"/>
        <v>9994</v>
      </c>
      <c r="V8" s="63">
        <f>R8/$R$13</f>
        <v>1.2167700419618062</v>
      </c>
      <c r="W8" s="37">
        <f>S8/$R$13</f>
        <v>0.76350913250388419</v>
      </c>
      <c r="X8" s="36">
        <f>T8/$T$13</f>
        <v>1.1209255193379497</v>
      </c>
      <c r="Y8" s="38">
        <f>U8/$T$13</f>
        <v>0.84394527951359566</v>
      </c>
    </row>
    <row r="9" spans="2:25" x14ac:dyDescent="0.25">
      <c r="B9" s="8">
        <v>2</v>
      </c>
      <c r="C9" s="5" t="s">
        <v>8</v>
      </c>
      <c r="D9" s="5" t="s">
        <v>3</v>
      </c>
      <c r="E9" s="9">
        <v>845</v>
      </c>
      <c r="G9" s="3"/>
      <c r="H9" s="1"/>
      <c r="I9" s="45">
        <v>2</v>
      </c>
      <c r="J9" s="8">
        <v>845</v>
      </c>
      <c r="K9" s="4">
        <v>825</v>
      </c>
      <c r="L9" s="5">
        <v>566</v>
      </c>
      <c r="M9" s="7">
        <v>472</v>
      </c>
      <c r="N9" s="50">
        <v>17069</v>
      </c>
      <c r="O9" s="4">
        <v>11075</v>
      </c>
      <c r="P9" s="5">
        <v>8922</v>
      </c>
      <c r="Q9" s="60">
        <v>7060</v>
      </c>
      <c r="R9" s="8">
        <f t="shared" si="0"/>
        <v>16224</v>
      </c>
      <c r="S9" s="4">
        <f t="shared" si="0"/>
        <v>10250</v>
      </c>
      <c r="T9" s="5">
        <f t="shared" si="0"/>
        <v>8356</v>
      </c>
      <c r="U9" s="7">
        <f t="shared" si="0"/>
        <v>6588</v>
      </c>
      <c r="V9" s="64">
        <f>R9/$R$13</f>
        <v>0.99240283333945012</v>
      </c>
      <c r="W9" s="20">
        <f t="shared" ref="W9:W12" si="1">S9/$R$13</f>
        <v>0.62698034034327932</v>
      </c>
      <c r="X9" s="19">
        <f>T9/$T$13</f>
        <v>0.70562404999155548</v>
      </c>
      <c r="Y9" s="24">
        <f>U9/$T$13</f>
        <v>0.55632494511062325</v>
      </c>
    </row>
    <row r="10" spans="2:25" x14ac:dyDescent="0.25">
      <c r="B10" s="8">
        <v>3</v>
      </c>
      <c r="C10" s="5" t="s">
        <v>8</v>
      </c>
      <c r="D10" s="5" t="s">
        <v>3</v>
      </c>
      <c r="E10" s="9">
        <v>840</v>
      </c>
      <c r="G10" s="3"/>
      <c r="H10" s="1"/>
      <c r="I10" s="45">
        <v>3</v>
      </c>
      <c r="J10" s="8">
        <v>840</v>
      </c>
      <c r="K10" s="4">
        <v>956</v>
      </c>
      <c r="L10" s="5">
        <v>497</v>
      </c>
      <c r="M10" s="7">
        <v>499</v>
      </c>
      <c r="N10" s="50">
        <v>14441</v>
      </c>
      <c r="O10" s="4">
        <v>9936</v>
      </c>
      <c r="P10" s="5">
        <v>12396</v>
      </c>
      <c r="Q10" s="60">
        <v>6478</v>
      </c>
      <c r="R10" s="8">
        <f t="shared" si="0"/>
        <v>13601</v>
      </c>
      <c r="S10" s="4">
        <f t="shared" si="0"/>
        <v>8980</v>
      </c>
      <c r="T10" s="5">
        <f t="shared" si="0"/>
        <v>11899</v>
      </c>
      <c r="U10" s="7">
        <f t="shared" si="0"/>
        <v>5979</v>
      </c>
      <c r="V10" s="64">
        <f>R10/$R$13</f>
        <v>0.83195703502526264</v>
      </c>
      <c r="W10" s="20">
        <f t="shared" si="1"/>
        <v>0.54929594695440476</v>
      </c>
      <c r="X10" s="19">
        <f t="shared" ref="X10:Y12" si="2">T10/$T$13</f>
        <v>1.0048133761188989</v>
      </c>
      <c r="Y10" s="24">
        <f t="shared" si="2"/>
        <v>0.50489782131396721</v>
      </c>
    </row>
    <row r="11" spans="2:25" x14ac:dyDescent="0.25">
      <c r="B11" s="8">
        <v>4</v>
      </c>
      <c r="C11" s="5" t="s">
        <v>8</v>
      </c>
      <c r="D11" s="5" t="s">
        <v>3</v>
      </c>
      <c r="E11" s="9">
        <v>926</v>
      </c>
      <c r="G11" s="3"/>
      <c r="H11" s="1"/>
      <c r="I11" s="45">
        <v>4</v>
      </c>
      <c r="J11" s="8">
        <v>926</v>
      </c>
      <c r="K11" s="4">
        <v>981</v>
      </c>
      <c r="L11" s="5">
        <v>669</v>
      </c>
      <c r="M11" s="7">
        <v>587</v>
      </c>
      <c r="N11" s="50">
        <v>17525</v>
      </c>
      <c r="O11" s="4">
        <v>10969</v>
      </c>
      <c r="P11" s="5">
        <v>14535</v>
      </c>
      <c r="Q11" s="60">
        <v>7237</v>
      </c>
      <c r="R11" s="8">
        <f t="shared" si="0"/>
        <v>16599</v>
      </c>
      <c r="S11" s="4">
        <f t="shared" si="0"/>
        <v>9988</v>
      </c>
      <c r="T11" s="5">
        <f t="shared" si="0"/>
        <v>13866</v>
      </c>
      <c r="U11" s="7">
        <f t="shared" si="0"/>
        <v>6650</v>
      </c>
      <c r="V11" s="64">
        <f>R11/$R$13</f>
        <v>1.0153411384739603</v>
      </c>
      <c r="W11" s="20">
        <f t="shared" si="1"/>
        <v>0.6109541111559682</v>
      </c>
      <c r="X11" s="19">
        <f>T11/$T$13</f>
        <v>1.1709170748184428</v>
      </c>
      <c r="Y11" s="24">
        <f t="shared" si="2"/>
        <v>0.56156054720486404</v>
      </c>
    </row>
    <row r="12" spans="2:25" ht="15.75" thickBot="1" x14ac:dyDescent="0.3">
      <c r="B12" s="8">
        <v>5</v>
      </c>
      <c r="C12" s="5" t="s">
        <v>8</v>
      </c>
      <c r="D12" s="5" t="s">
        <v>3</v>
      </c>
      <c r="E12" s="9">
        <v>983</v>
      </c>
      <c r="G12" s="3"/>
      <c r="H12" s="1"/>
      <c r="I12" s="46">
        <v>5</v>
      </c>
      <c r="J12" s="10">
        <v>983</v>
      </c>
      <c r="K12" s="39">
        <v>1070</v>
      </c>
      <c r="L12" s="11">
        <v>662</v>
      </c>
      <c r="M12" s="55">
        <v>536</v>
      </c>
      <c r="N12" s="51">
        <v>16408</v>
      </c>
      <c r="O12" s="39">
        <v>11254</v>
      </c>
      <c r="P12" s="11">
        <v>12477</v>
      </c>
      <c r="Q12" s="61">
        <v>5450</v>
      </c>
      <c r="R12" s="10">
        <f t="shared" si="0"/>
        <v>15425</v>
      </c>
      <c r="S12" s="39">
        <f t="shared" si="0"/>
        <v>10184</v>
      </c>
      <c r="T12" s="11">
        <f>P12-L12</f>
        <v>11815</v>
      </c>
      <c r="U12" s="55">
        <f t="shared" si="0"/>
        <v>4914</v>
      </c>
      <c r="V12" s="65">
        <f>R12/$R$13</f>
        <v>0.9435289511995204</v>
      </c>
      <c r="W12" s="26">
        <f t="shared" si="1"/>
        <v>0.62294319863960557</v>
      </c>
      <c r="X12" s="25">
        <f t="shared" si="2"/>
        <v>0.99771997973315318</v>
      </c>
      <c r="Y12" s="27">
        <f>U12/$T$13</f>
        <v>0.41496368856612059</v>
      </c>
    </row>
    <row r="13" spans="2:25" ht="15.75" thickBot="1" x14ac:dyDescent="0.3">
      <c r="B13" s="6">
        <v>1</v>
      </c>
      <c r="C13" s="4" t="s">
        <v>6</v>
      </c>
      <c r="D13" s="4" t="s">
        <v>3</v>
      </c>
      <c r="E13" s="7">
        <v>664</v>
      </c>
      <c r="G13" s="3"/>
      <c r="H13" s="1"/>
      <c r="I13" s="47" t="s">
        <v>14</v>
      </c>
      <c r="J13" s="56">
        <f t="shared" ref="J13:Y13" si="3">AVERAGE(J8:J12)</f>
        <v>890.4</v>
      </c>
      <c r="K13" s="32">
        <f t="shared" si="3"/>
        <v>941</v>
      </c>
      <c r="L13" s="31">
        <f t="shared" si="3"/>
        <v>601.4</v>
      </c>
      <c r="M13" s="57">
        <f>AVERAGE(M8:M12)</f>
        <v>551.6</v>
      </c>
      <c r="N13" s="52">
        <f t="shared" si="3"/>
        <v>17238.599999999999</v>
      </c>
      <c r="O13" s="32">
        <f t="shared" si="3"/>
        <v>11317.8</v>
      </c>
      <c r="P13" s="31">
        <f t="shared" si="3"/>
        <v>12443.4</v>
      </c>
      <c r="Q13" s="62">
        <f>AVERAGE(Q8:Q12)</f>
        <v>7376.6</v>
      </c>
      <c r="R13" s="56">
        <f t="shared" si="3"/>
        <v>16348.2</v>
      </c>
      <c r="S13" s="32">
        <f t="shared" si="3"/>
        <v>10376.799999999999</v>
      </c>
      <c r="T13" s="31">
        <f t="shared" si="3"/>
        <v>11842</v>
      </c>
      <c r="U13" s="57">
        <f t="shared" si="3"/>
        <v>6825</v>
      </c>
      <c r="V13" s="66">
        <f t="shared" si="3"/>
        <v>1</v>
      </c>
      <c r="W13" s="34">
        <f t="shared" si="3"/>
        <v>0.63473654591942841</v>
      </c>
      <c r="X13" s="33">
        <f t="shared" si="3"/>
        <v>1</v>
      </c>
      <c r="Y13" s="35">
        <f t="shared" si="3"/>
        <v>0.57633845634183412</v>
      </c>
    </row>
    <row r="14" spans="2:25" x14ac:dyDescent="0.25">
      <c r="B14" s="6">
        <v>2</v>
      </c>
      <c r="C14" s="4" t="s">
        <v>6</v>
      </c>
      <c r="D14" s="4" t="s">
        <v>3</v>
      </c>
      <c r="E14" s="7">
        <v>472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2"/>
      <c r="R14" s="3"/>
      <c r="S14" s="3"/>
      <c r="T14" s="3"/>
      <c r="U14" s="3"/>
      <c r="V14" s="3"/>
      <c r="W14" s="3"/>
      <c r="X14" s="3"/>
      <c r="Y14" s="3"/>
    </row>
    <row r="15" spans="2:25" x14ac:dyDescent="0.25">
      <c r="B15" s="6">
        <v>3</v>
      </c>
      <c r="C15" s="4" t="s">
        <v>6</v>
      </c>
      <c r="D15" s="4" t="s">
        <v>3</v>
      </c>
      <c r="E15" s="7">
        <v>499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2:25" x14ac:dyDescent="0.25">
      <c r="B16" s="6">
        <v>4</v>
      </c>
      <c r="C16" s="4" t="s">
        <v>6</v>
      </c>
      <c r="D16" s="4" t="s">
        <v>3</v>
      </c>
      <c r="E16" s="7">
        <v>587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2:25" x14ac:dyDescent="0.25">
      <c r="B17" s="6">
        <v>5</v>
      </c>
      <c r="C17" s="4" t="s">
        <v>6</v>
      </c>
      <c r="D17" s="4" t="s">
        <v>3</v>
      </c>
      <c r="E17" s="7">
        <v>536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x14ac:dyDescent="0.25">
      <c r="B18" s="8">
        <v>1</v>
      </c>
      <c r="C18" s="5" t="s">
        <v>9</v>
      </c>
      <c r="D18" s="5" t="s">
        <v>3</v>
      </c>
      <c r="E18" s="9">
        <v>613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2:25" x14ac:dyDescent="0.25">
      <c r="B19" s="8">
        <v>2</v>
      </c>
      <c r="C19" s="5" t="s">
        <v>9</v>
      </c>
      <c r="D19" s="5" t="s">
        <v>3</v>
      </c>
      <c r="E19" s="9">
        <v>566</v>
      </c>
    </row>
    <row r="20" spans="2:25" x14ac:dyDescent="0.25">
      <c r="B20" s="8">
        <v>3</v>
      </c>
      <c r="C20" s="5" t="s">
        <v>9</v>
      </c>
      <c r="D20" s="5" t="s">
        <v>3</v>
      </c>
      <c r="E20" s="9">
        <v>497</v>
      </c>
    </row>
    <row r="21" spans="2:25" x14ac:dyDescent="0.25">
      <c r="B21" s="8">
        <v>4</v>
      </c>
      <c r="C21" s="5" t="s">
        <v>9</v>
      </c>
      <c r="D21" s="5" t="s">
        <v>3</v>
      </c>
      <c r="E21" s="9">
        <v>669</v>
      </c>
    </row>
    <row r="22" spans="2:25" x14ac:dyDescent="0.25">
      <c r="B22" s="8">
        <v>5</v>
      </c>
      <c r="C22" s="5" t="s">
        <v>9</v>
      </c>
      <c r="D22" s="5" t="s">
        <v>3</v>
      </c>
      <c r="E22" s="9">
        <v>662</v>
      </c>
    </row>
    <row r="23" spans="2:25" x14ac:dyDescent="0.25">
      <c r="B23" s="6">
        <v>1</v>
      </c>
      <c r="C23" s="4" t="s">
        <v>4</v>
      </c>
      <c r="D23" s="4" t="s">
        <v>10</v>
      </c>
      <c r="E23" s="7">
        <v>13355</v>
      </c>
    </row>
    <row r="24" spans="2:25" x14ac:dyDescent="0.25">
      <c r="B24" s="6">
        <v>2</v>
      </c>
      <c r="C24" s="4" t="s">
        <v>5</v>
      </c>
      <c r="D24" s="4" t="s">
        <v>10</v>
      </c>
      <c r="E24" s="7">
        <v>11075</v>
      </c>
    </row>
    <row r="25" spans="2:25" x14ac:dyDescent="0.25">
      <c r="B25" s="6">
        <v>3</v>
      </c>
      <c r="C25" s="4" t="s">
        <v>5</v>
      </c>
      <c r="D25" s="4" t="s">
        <v>10</v>
      </c>
      <c r="E25" s="7">
        <v>9936</v>
      </c>
    </row>
    <row r="26" spans="2:25" x14ac:dyDescent="0.25">
      <c r="B26" s="6">
        <v>4</v>
      </c>
      <c r="C26" s="4" t="s">
        <v>5</v>
      </c>
      <c r="D26" s="4" t="s">
        <v>10</v>
      </c>
      <c r="E26" s="7">
        <v>10969</v>
      </c>
    </row>
    <row r="27" spans="2:25" x14ac:dyDescent="0.25">
      <c r="B27" s="6">
        <v>5</v>
      </c>
      <c r="C27" s="4" t="s">
        <v>5</v>
      </c>
      <c r="D27" s="4" t="s">
        <v>10</v>
      </c>
      <c r="E27" s="7">
        <v>11254</v>
      </c>
    </row>
    <row r="28" spans="2:25" x14ac:dyDescent="0.25">
      <c r="B28" s="8">
        <v>1</v>
      </c>
      <c r="C28" s="5" t="s">
        <v>7</v>
      </c>
      <c r="D28" s="5" t="s">
        <v>10</v>
      </c>
      <c r="E28" s="9">
        <v>20750</v>
      </c>
    </row>
    <row r="29" spans="2:25" x14ac:dyDescent="0.25">
      <c r="B29" s="8">
        <v>2</v>
      </c>
      <c r="C29" s="5" t="s">
        <v>8</v>
      </c>
      <c r="D29" s="5" t="s">
        <v>10</v>
      </c>
      <c r="E29" s="9">
        <v>17069</v>
      </c>
    </row>
    <row r="30" spans="2:25" x14ac:dyDescent="0.25">
      <c r="B30" s="8">
        <v>3</v>
      </c>
      <c r="C30" s="5" t="s">
        <v>8</v>
      </c>
      <c r="D30" s="5" t="s">
        <v>10</v>
      </c>
      <c r="E30" s="9">
        <v>14441</v>
      </c>
    </row>
    <row r="31" spans="2:25" x14ac:dyDescent="0.25">
      <c r="B31" s="8">
        <v>4</v>
      </c>
      <c r="C31" s="5" t="s">
        <v>8</v>
      </c>
      <c r="D31" s="5" t="s">
        <v>10</v>
      </c>
      <c r="E31" s="9">
        <v>17525</v>
      </c>
    </row>
    <row r="32" spans="2:25" x14ac:dyDescent="0.25">
      <c r="B32" s="8">
        <v>5</v>
      </c>
      <c r="C32" s="5" t="s">
        <v>8</v>
      </c>
      <c r="D32" s="5" t="s">
        <v>10</v>
      </c>
      <c r="E32" s="9">
        <v>16408</v>
      </c>
    </row>
    <row r="33" spans="2:5" x14ac:dyDescent="0.25">
      <c r="B33" s="6">
        <v>1</v>
      </c>
      <c r="C33" s="4" t="s">
        <v>6</v>
      </c>
      <c r="D33" s="4" t="s">
        <v>10</v>
      </c>
      <c r="E33" s="7">
        <v>10658</v>
      </c>
    </row>
    <row r="34" spans="2:5" x14ac:dyDescent="0.25">
      <c r="B34" s="6">
        <v>2</v>
      </c>
      <c r="C34" s="4" t="s">
        <v>6</v>
      </c>
      <c r="D34" s="4" t="s">
        <v>10</v>
      </c>
      <c r="E34" s="7">
        <v>7060</v>
      </c>
    </row>
    <row r="35" spans="2:5" x14ac:dyDescent="0.25">
      <c r="B35" s="6">
        <v>3</v>
      </c>
      <c r="C35" s="4" t="s">
        <v>6</v>
      </c>
      <c r="D35" s="4" t="s">
        <v>10</v>
      </c>
      <c r="E35" s="7">
        <v>6478</v>
      </c>
    </row>
    <row r="36" spans="2:5" x14ac:dyDescent="0.25">
      <c r="B36" s="6">
        <v>4</v>
      </c>
      <c r="C36" s="4" t="s">
        <v>6</v>
      </c>
      <c r="D36" s="4" t="s">
        <v>10</v>
      </c>
      <c r="E36" s="7">
        <v>7237</v>
      </c>
    </row>
    <row r="37" spans="2:5" x14ac:dyDescent="0.25">
      <c r="B37" s="6">
        <v>5</v>
      </c>
      <c r="C37" s="4" t="s">
        <v>6</v>
      </c>
      <c r="D37" s="4" t="s">
        <v>10</v>
      </c>
      <c r="E37" s="7">
        <v>5450</v>
      </c>
    </row>
    <row r="38" spans="2:5" x14ac:dyDescent="0.25">
      <c r="B38" s="8">
        <v>1</v>
      </c>
      <c r="C38" s="5" t="s">
        <v>9</v>
      </c>
      <c r="D38" s="5" t="s">
        <v>10</v>
      </c>
      <c r="E38" s="9">
        <v>13887</v>
      </c>
    </row>
    <row r="39" spans="2:5" x14ac:dyDescent="0.25">
      <c r="B39" s="8">
        <v>2</v>
      </c>
      <c r="C39" s="5" t="s">
        <v>9</v>
      </c>
      <c r="D39" s="5" t="s">
        <v>10</v>
      </c>
      <c r="E39" s="9">
        <v>8922</v>
      </c>
    </row>
    <row r="40" spans="2:5" x14ac:dyDescent="0.25">
      <c r="B40" s="8">
        <v>3</v>
      </c>
      <c r="C40" s="5" t="s">
        <v>9</v>
      </c>
      <c r="D40" s="5" t="s">
        <v>10</v>
      </c>
      <c r="E40" s="9">
        <v>12396</v>
      </c>
    </row>
    <row r="41" spans="2:5" x14ac:dyDescent="0.25">
      <c r="B41" s="8">
        <v>4</v>
      </c>
      <c r="C41" s="5" t="s">
        <v>9</v>
      </c>
      <c r="D41" s="5" t="s">
        <v>10</v>
      </c>
      <c r="E41" s="9">
        <v>14535</v>
      </c>
    </row>
    <row r="42" spans="2:5" ht="15.75" thickBot="1" x14ac:dyDescent="0.3">
      <c r="B42" s="10">
        <v>5</v>
      </c>
      <c r="C42" s="11" t="s">
        <v>9</v>
      </c>
      <c r="D42" s="11" t="s">
        <v>10</v>
      </c>
      <c r="E42" s="12">
        <v>12477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dcterms:created xsi:type="dcterms:W3CDTF">2025-02-06T09:52:01Z</dcterms:created>
  <dcterms:modified xsi:type="dcterms:W3CDTF">2025-11-07T20:35:41Z</dcterms:modified>
</cp:coreProperties>
</file>