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1 Projects\Project U ... CMTM family\!!! Submission EMBO Reports\Source data\Figure 5\5A\"/>
    </mc:Choice>
  </mc:AlternateContent>
  <xr:revisionPtr revIDLastSave="0" documentId="13_ncr:1_{654C6781-4739-4907-AF9B-54B26779AA79}" xr6:coauthVersionLast="36" xr6:coauthVersionMax="36" xr10:uidLastSave="{00000000-0000-0000-0000-000000000000}"/>
  <bookViews>
    <workbookView xWindow="0" yWindow="0" windowWidth="38400" windowHeight="17505" xr2:uid="{0BB9C083-3971-4C0B-83C3-764D89F73023}"/>
  </bookViews>
  <sheets>
    <sheet name="Figure_5A" sheetId="1" r:id="rId1"/>
  </sheets>
  <definedNames>
    <definedName name="_xlnm._FilterDatabase" localSheetId="0" hidden="1">Figure_5A!$B$2:$E$2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6" i="1" l="1"/>
  <c r="S12" i="1"/>
  <c r="R11" i="1" l="1"/>
  <c r="W11" i="1"/>
  <c r="Y10" i="1"/>
  <c r="X9" i="1"/>
  <c r="Y6" i="1"/>
  <c r="Z6" i="1"/>
  <c r="AA6" i="1"/>
  <c r="AB6" i="1"/>
  <c r="AB11" i="1" s="1"/>
  <c r="Y7" i="1"/>
  <c r="Z7" i="1"/>
  <c r="AA7" i="1"/>
  <c r="AB7" i="1"/>
  <c r="Y8" i="1"/>
  <c r="Y11" i="1" s="1"/>
  <c r="Z8" i="1"/>
  <c r="AA8" i="1"/>
  <c r="AB8" i="1"/>
  <c r="Y9" i="1"/>
  <c r="Z9" i="1"/>
  <c r="AA9" i="1"/>
  <c r="Z10" i="1"/>
  <c r="AA10" i="1"/>
  <c r="X7" i="1"/>
  <c r="X8" i="1"/>
  <c r="X10" i="1"/>
  <c r="X11" i="1" s="1"/>
  <c r="V11" i="1"/>
  <c r="W8" i="1"/>
  <c r="W6" i="1"/>
  <c r="W7" i="1"/>
  <c r="U8" i="1"/>
  <c r="S6" i="1"/>
  <c r="O11" i="1"/>
  <c r="P11" i="1"/>
  <c r="Q11" i="1"/>
  <c r="N11" i="1"/>
  <c r="M11" i="1"/>
  <c r="J11" i="1"/>
  <c r="K11" i="1"/>
  <c r="L11" i="1"/>
  <c r="I11" i="1"/>
  <c r="V10" i="1"/>
  <c r="U10" i="1"/>
  <c r="U11" i="1" s="1"/>
  <c r="T10" i="1"/>
  <c r="S10" i="1"/>
  <c r="V9" i="1"/>
  <c r="U9" i="1"/>
  <c r="T9" i="1"/>
  <c r="S9" i="1"/>
  <c r="V8" i="1"/>
  <c r="T8" i="1"/>
  <c r="S8" i="1"/>
  <c r="V7" i="1"/>
  <c r="U7" i="1"/>
  <c r="T7" i="1"/>
  <c r="S7" i="1"/>
  <c r="V6" i="1"/>
  <c r="U6" i="1"/>
  <c r="T6" i="1"/>
  <c r="S11" i="1"/>
  <c r="AA11" i="1" l="1"/>
  <c r="Z11" i="1"/>
  <c r="T11" i="1"/>
</calcChain>
</file>

<file path=xl/sharedStrings.xml><?xml version="1.0" encoding="utf-8"?>
<sst xmlns="http://schemas.openxmlformats.org/spreadsheetml/2006/main" count="123" uniqueCount="20">
  <si>
    <t>Experiment</t>
  </si>
  <si>
    <t>Cell type</t>
  </si>
  <si>
    <t>Stain</t>
  </si>
  <si>
    <t>unstained</t>
  </si>
  <si>
    <r>
      <t>CMTM6 KO</t>
    </r>
    <r>
      <rPr>
        <sz val="11"/>
        <color theme="1"/>
        <rFont val="Calibri"/>
        <family val="2"/>
        <charset val="238"/>
      </rPr>
      <t>#</t>
    </r>
    <r>
      <rPr>
        <sz val="11"/>
        <color theme="1"/>
        <rFont val="Calibri"/>
        <family val="2"/>
      </rPr>
      <t>1</t>
    </r>
  </si>
  <si>
    <t>CMTM6 KO#1</t>
  </si>
  <si>
    <r>
      <t>CMTM6 KO</t>
    </r>
    <r>
      <rPr>
        <sz val="11"/>
        <color theme="1"/>
        <rFont val="Calibri"/>
        <family val="2"/>
        <charset val="238"/>
      </rPr>
      <t>#2</t>
    </r>
  </si>
  <si>
    <t>CMTM6 KO#2</t>
  </si>
  <si>
    <t>CMTM6 KO#3</t>
  </si>
  <si>
    <r>
      <t>WT</t>
    </r>
    <r>
      <rPr>
        <sz val="11"/>
        <color theme="1"/>
        <rFont val="Calibri"/>
        <family val="2"/>
        <charset val="238"/>
      </rPr>
      <t>#</t>
    </r>
    <r>
      <rPr>
        <sz val="11"/>
        <color theme="1"/>
        <rFont val="Calibri"/>
        <family val="2"/>
      </rPr>
      <t>1</t>
    </r>
  </si>
  <si>
    <t>WT#1</t>
  </si>
  <si>
    <t>WT#2</t>
  </si>
  <si>
    <t>FAS</t>
  </si>
  <si>
    <t>Surface FAS (MFI)</t>
  </si>
  <si>
    <t>Unstained</t>
  </si>
  <si>
    <t>Normal to WT</t>
  </si>
  <si>
    <t>Exp</t>
  </si>
  <si>
    <t>Average</t>
  </si>
  <si>
    <t>FAS-Unst.</t>
  </si>
  <si>
    <t>Combined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</si>
</sst>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EDDFF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Border="1"/>
    <xf numFmtId="1" fontId="0" fillId="0" borderId="0" xfId="0" applyNumberFormat="1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7" xfId="0" applyFill="1" applyBorder="1"/>
    <xf numFmtId="0" fontId="0" fillId="2" borderId="4" xfId="0" applyFill="1" applyBorder="1"/>
    <xf numFmtId="0" fontId="0" fillId="3" borderId="8" xfId="0" applyFill="1" applyBorder="1"/>
    <xf numFmtId="0" fontId="0" fillId="2" borderId="5" xfId="0" applyFill="1" applyBorder="1"/>
    <xf numFmtId="0" fontId="0" fillId="3" borderId="9" xfId="0" applyFill="1" applyBorder="1"/>
    <xf numFmtId="0" fontId="0" fillId="2" borderId="6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2" fontId="0" fillId="3" borderId="1" xfId="0" applyNumberFormat="1" applyFill="1" applyBorder="1"/>
    <xf numFmtId="2" fontId="0" fillId="2" borderId="1" xfId="0" applyNumberFormat="1" applyFill="1" applyBorder="1"/>
    <xf numFmtId="2" fontId="0" fillId="2" borderId="3" xfId="0" applyNumberFormat="1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5" xfId="0" applyBorder="1"/>
    <xf numFmtId="0" fontId="0" fillId="3" borderId="18" xfId="0" applyFill="1" applyBorder="1"/>
    <xf numFmtId="0" fontId="0" fillId="2" borderId="18" xfId="0" applyFill="1" applyBorder="1"/>
    <xf numFmtId="2" fontId="0" fillId="3" borderId="18" xfId="0" applyNumberFormat="1" applyFill="1" applyBorder="1"/>
    <xf numFmtId="2" fontId="0" fillId="2" borderId="18" xfId="0" applyNumberFormat="1" applyFill="1" applyBorder="1"/>
    <xf numFmtId="2" fontId="0" fillId="2" borderId="27" xfId="0" applyNumberFormat="1" applyFill="1" applyBorder="1"/>
    <xf numFmtId="1" fontId="0" fillId="3" borderId="11" xfId="0" applyNumberFormat="1" applyFill="1" applyBorder="1"/>
    <xf numFmtId="1" fontId="0" fillId="2" borderId="11" xfId="0" applyNumberFormat="1" applyFill="1" applyBorder="1"/>
    <xf numFmtId="2" fontId="0" fillId="3" borderId="11" xfId="0" applyNumberFormat="1" applyFill="1" applyBorder="1"/>
    <xf numFmtId="2" fontId="0" fillId="2" borderId="11" xfId="0" applyNumberFormat="1" applyFill="1" applyBorder="1"/>
    <xf numFmtId="2" fontId="0" fillId="2" borderId="12" xfId="0" applyNumberFormat="1" applyFill="1" applyBorder="1"/>
    <xf numFmtId="0" fontId="0" fillId="2" borderId="8" xfId="0" applyFill="1" applyBorder="1"/>
    <xf numFmtId="2" fontId="0" fillId="3" borderId="8" xfId="0" applyNumberFormat="1" applyFill="1" applyBorder="1"/>
    <xf numFmtId="2" fontId="0" fillId="2" borderId="8" xfId="0" applyNumberFormat="1" applyFill="1" applyBorder="1"/>
    <xf numFmtId="2" fontId="0" fillId="2" borderId="9" xfId="0" applyNumberFormat="1" applyFill="1" applyBorder="1"/>
    <xf numFmtId="0" fontId="0" fillId="3" borderId="1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30" xfId="0" applyFill="1" applyBorder="1"/>
    <xf numFmtId="0" fontId="0" fillId="3" borderId="23" xfId="0" applyFill="1" applyBorder="1"/>
    <xf numFmtId="0" fontId="0" fillId="3" borderId="13" xfId="0" applyFill="1" applyBorder="1"/>
    <xf numFmtId="0" fontId="0" fillId="3" borderId="15" xfId="0" applyFill="1" applyBorder="1"/>
    <xf numFmtId="0" fontId="0" fillId="3" borderId="17" xfId="0" applyFill="1" applyBorder="1"/>
    <xf numFmtId="1" fontId="0" fillId="3" borderId="23" xfId="0" applyNumberFormat="1" applyFill="1" applyBorder="1"/>
    <xf numFmtId="0" fontId="0" fillId="0" borderId="25" xfId="0" applyFill="1" applyBorder="1"/>
    <xf numFmtId="0" fontId="0" fillId="3" borderId="10" xfId="0" applyFill="1" applyBorder="1"/>
    <xf numFmtId="0" fontId="0" fillId="2" borderId="9" xfId="0" applyFill="1" applyBorder="1"/>
    <xf numFmtId="0" fontId="0" fillId="3" borderId="26" xfId="0" applyFill="1" applyBorder="1"/>
    <xf numFmtId="0" fontId="0" fillId="2" borderId="27" xfId="0" applyFill="1" applyBorder="1"/>
    <xf numFmtId="1" fontId="0" fillId="3" borderId="10" xfId="0" applyNumberFormat="1" applyFill="1" applyBorder="1"/>
    <xf numFmtId="1" fontId="0" fillId="2" borderId="12" xfId="0" applyNumberFormat="1" applyFill="1" applyBorder="1"/>
    <xf numFmtId="0" fontId="0" fillId="2" borderId="24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9" xfId="0" applyFill="1" applyBorder="1"/>
    <xf numFmtId="1" fontId="0" fillId="2" borderId="24" xfId="0" applyNumberFormat="1" applyFill="1" applyBorder="1"/>
    <xf numFmtId="2" fontId="0" fillId="3" borderId="13" xfId="0" applyNumberFormat="1" applyFill="1" applyBorder="1"/>
    <xf numFmtId="2" fontId="0" fillId="3" borderId="15" xfId="0" applyNumberFormat="1" applyFill="1" applyBorder="1"/>
    <xf numFmtId="2" fontId="0" fillId="3" borderId="17" xfId="0" applyNumberFormat="1" applyFill="1" applyBorder="1"/>
    <xf numFmtId="2" fontId="0" fillId="3" borderId="23" xfId="0" applyNumberFormat="1" applyFill="1" applyBorder="1"/>
    <xf numFmtId="0" fontId="0" fillId="0" borderId="0" xfId="0" applyBorder="1" applyAlignment="1">
      <alignment horizontal="right"/>
    </xf>
    <xf numFmtId="1" fontId="0" fillId="3" borderId="2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DDFF"/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70AB-956C-472D-8D46-6BB6768A61CA}">
  <dimension ref="B1:AC48"/>
  <sheetViews>
    <sheetView tabSelected="1" workbookViewId="0">
      <selection activeCell="V22" sqref="V22"/>
    </sheetView>
  </sheetViews>
  <sheetFormatPr defaultRowHeight="15" x14ac:dyDescent="0.25"/>
  <cols>
    <col min="2" max="2" width="12.7109375" customWidth="1"/>
    <col min="3" max="3" width="12.28515625" bestFit="1" customWidth="1"/>
    <col min="4" max="4" width="10.140625" customWidth="1"/>
    <col min="5" max="5" width="18.85546875" bestFit="1" customWidth="1"/>
    <col min="11" max="13" width="12.28515625" bestFit="1" customWidth="1"/>
    <col min="16" max="18" width="12.28515625" bestFit="1" customWidth="1"/>
    <col min="21" max="23" width="12.28515625" bestFit="1" customWidth="1"/>
    <col min="26" max="28" width="12.28515625" bestFit="1" customWidth="1"/>
  </cols>
  <sheetData>
    <row r="1" spans="2:29" ht="15.75" thickBot="1" x14ac:dyDescent="0.3"/>
    <row r="2" spans="2:29" ht="15.75" thickBot="1" x14ac:dyDescent="0.3">
      <c r="B2" s="17" t="s">
        <v>0</v>
      </c>
      <c r="C2" s="18" t="s">
        <v>1</v>
      </c>
      <c r="D2" s="18" t="s">
        <v>2</v>
      </c>
      <c r="E2" s="19" t="s">
        <v>13</v>
      </c>
    </row>
    <row r="3" spans="2:29" ht="15.75" thickBot="1" x14ac:dyDescent="0.3">
      <c r="B3" s="11">
        <v>1</v>
      </c>
      <c r="C3" s="13" t="s">
        <v>9</v>
      </c>
      <c r="D3" s="13" t="s">
        <v>3</v>
      </c>
      <c r="E3" s="15">
        <v>431</v>
      </c>
    </row>
    <row r="4" spans="2:29" ht="15.75" thickBot="1" x14ac:dyDescent="0.3">
      <c r="B4" s="9">
        <v>1</v>
      </c>
      <c r="C4" s="6" t="s">
        <v>9</v>
      </c>
      <c r="D4" s="6" t="s">
        <v>12</v>
      </c>
      <c r="E4" s="10">
        <v>3314</v>
      </c>
      <c r="H4" s="2"/>
      <c r="I4" s="23" t="s">
        <v>14</v>
      </c>
      <c r="J4" s="24"/>
      <c r="K4" s="24"/>
      <c r="L4" s="24"/>
      <c r="M4" s="51"/>
      <c r="N4" s="24" t="s">
        <v>12</v>
      </c>
      <c r="O4" s="24"/>
      <c r="P4" s="24"/>
      <c r="Q4" s="24"/>
      <c r="R4" s="24"/>
      <c r="S4" s="23" t="s">
        <v>18</v>
      </c>
      <c r="T4" s="24"/>
      <c r="U4" s="24"/>
      <c r="V4" s="24"/>
      <c r="W4" s="51"/>
      <c r="X4" s="24" t="s">
        <v>15</v>
      </c>
      <c r="Y4" s="24"/>
      <c r="Z4" s="24"/>
      <c r="AA4" s="24"/>
      <c r="AB4" s="25"/>
    </row>
    <row r="5" spans="2:29" ht="15.75" thickBot="1" x14ac:dyDescent="0.3">
      <c r="B5" s="9">
        <v>2</v>
      </c>
      <c r="C5" s="6" t="s">
        <v>10</v>
      </c>
      <c r="D5" s="6" t="s">
        <v>3</v>
      </c>
      <c r="E5" s="10">
        <v>416</v>
      </c>
      <c r="H5" s="23" t="s">
        <v>16</v>
      </c>
      <c r="I5" s="52" t="s">
        <v>9</v>
      </c>
      <c r="J5" s="40" t="s">
        <v>11</v>
      </c>
      <c r="K5" s="41" t="s">
        <v>4</v>
      </c>
      <c r="L5" s="41" t="s">
        <v>6</v>
      </c>
      <c r="M5" s="42" t="s">
        <v>8</v>
      </c>
      <c r="N5" s="46" t="s">
        <v>9</v>
      </c>
      <c r="O5" s="40" t="s">
        <v>11</v>
      </c>
      <c r="P5" s="41" t="s">
        <v>4</v>
      </c>
      <c r="Q5" s="41" t="s">
        <v>6</v>
      </c>
      <c r="R5" s="58" t="s">
        <v>8</v>
      </c>
      <c r="S5" s="52" t="s">
        <v>9</v>
      </c>
      <c r="T5" s="40" t="s">
        <v>11</v>
      </c>
      <c r="U5" s="41" t="s">
        <v>4</v>
      </c>
      <c r="V5" s="41" t="s">
        <v>6</v>
      </c>
      <c r="W5" s="42" t="s">
        <v>8</v>
      </c>
      <c r="X5" s="46" t="s">
        <v>9</v>
      </c>
      <c r="Y5" s="40" t="s">
        <v>11</v>
      </c>
      <c r="Z5" s="41" t="s">
        <v>4</v>
      </c>
      <c r="AA5" s="41" t="s">
        <v>6</v>
      </c>
      <c r="AB5" s="42" t="s">
        <v>8</v>
      </c>
    </row>
    <row r="6" spans="2:29" x14ac:dyDescent="0.25">
      <c r="B6" s="9">
        <v>2</v>
      </c>
      <c r="C6" s="6" t="s">
        <v>10</v>
      </c>
      <c r="D6" s="6" t="s">
        <v>12</v>
      </c>
      <c r="E6" s="10">
        <v>5198</v>
      </c>
      <c r="H6" s="43">
        <v>1</v>
      </c>
      <c r="I6" s="11">
        <v>431</v>
      </c>
      <c r="J6" s="13">
        <v>373</v>
      </c>
      <c r="K6" s="36">
        <v>439</v>
      </c>
      <c r="L6" s="36">
        <v>398</v>
      </c>
      <c r="M6" s="53">
        <v>412</v>
      </c>
      <c r="N6" s="47">
        <v>3314</v>
      </c>
      <c r="O6" s="13">
        <v>4301</v>
      </c>
      <c r="P6" s="36">
        <v>6931</v>
      </c>
      <c r="Q6" s="36">
        <v>6325</v>
      </c>
      <c r="R6" s="59">
        <v>6499</v>
      </c>
      <c r="S6" s="11">
        <f>N6-I6</f>
        <v>2883</v>
      </c>
      <c r="T6" s="13">
        <f t="shared" ref="T6:V10" si="0">O6-J6</f>
        <v>3928</v>
      </c>
      <c r="U6" s="36">
        <f t="shared" si="0"/>
        <v>6492</v>
      </c>
      <c r="V6" s="36">
        <f t="shared" si="0"/>
        <v>5927</v>
      </c>
      <c r="W6" s="53">
        <f>R6-M6</f>
        <v>6087</v>
      </c>
      <c r="X6" s="63">
        <f>S6/$S$12</f>
        <v>0.82548317823908379</v>
      </c>
      <c r="Y6" s="37">
        <f t="shared" ref="Y6:AB10" si="1">T6/$S$12</f>
        <v>1.1246957766642807</v>
      </c>
      <c r="Z6" s="38">
        <f t="shared" si="1"/>
        <v>1.858840372226199</v>
      </c>
      <c r="AA6" s="38">
        <f t="shared" si="1"/>
        <v>1.6970651395848246</v>
      </c>
      <c r="AB6" s="39">
        <f t="shared" si="1"/>
        <v>1.7428775948460988</v>
      </c>
      <c r="AC6" s="3"/>
    </row>
    <row r="7" spans="2:29" x14ac:dyDescent="0.25">
      <c r="B7" s="9">
        <v>3</v>
      </c>
      <c r="C7" s="6" t="s">
        <v>10</v>
      </c>
      <c r="D7" s="6" t="s">
        <v>3</v>
      </c>
      <c r="E7" s="10">
        <v>413</v>
      </c>
      <c r="H7" s="44">
        <v>2</v>
      </c>
      <c r="I7" s="9">
        <v>416</v>
      </c>
      <c r="J7" s="6">
        <v>386</v>
      </c>
      <c r="K7" s="5">
        <v>435</v>
      </c>
      <c r="L7" s="5">
        <v>390</v>
      </c>
      <c r="M7" s="8">
        <v>411</v>
      </c>
      <c r="N7" s="48">
        <v>5198</v>
      </c>
      <c r="O7" s="6">
        <v>5359</v>
      </c>
      <c r="P7" s="5">
        <v>8292</v>
      </c>
      <c r="Q7" s="5">
        <v>8126</v>
      </c>
      <c r="R7" s="60">
        <v>7466</v>
      </c>
      <c r="S7" s="9">
        <f t="shared" ref="S7:S10" si="2">N7-I7</f>
        <v>4782</v>
      </c>
      <c r="T7" s="6">
        <f t="shared" si="0"/>
        <v>4973</v>
      </c>
      <c r="U7" s="5">
        <f t="shared" si="0"/>
        <v>7857</v>
      </c>
      <c r="V7" s="5">
        <f t="shared" si="0"/>
        <v>7736</v>
      </c>
      <c r="W7" s="8">
        <f>R7-M7</f>
        <v>7055</v>
      </c>
      <c r="X7" s="64">
        <f t="shared" ref="X7:X10" si="3">S7/$S$12</f>
        <v>1.3692197566213313</v>
      </c>
      <c r="Y7" s="20">
        <f t="shared" si="1"/>
        <v>1.4239083750894774</v>
      </c>
      <c r="Z7" s="21">
        <f t="shared" si="1"/>
        <v>2.2496778811739442</v>
      </c>
      <c r="AA7" s="21">
        <f t="shared" si="1"/>
        <v>2.2150322118826056</v>
      </c>
      <c r="AB7" s="22">
        <f t="shared" si="1"/>
        <v>2.0200429491768075</v>
      </c>
      <c r="AC7" s="3"/>
    </row>
    <row r="8" spans="2:29" x14ac:dyDescent="0.25">
      <c r="B8" s="9">
        <v>3</v>
      </c>
      <c r="C8" s="6" t="s">
        <v>10</v>
      </c>
      <c r="D8" s="6" t="s">
        <v>12</v>
      </c>
      <c r="E8" s="10">
        <v>4841</v>
      </c>
      <c r="H8" s="44">
        <v>3</v>
      </c>
      <c r="I8" s="9">
        <v>413</v>
      </c>
      <c r="J8" s="6">
        <v>364</v>
      </c>
      <c r="K8" s="5">
        <v>451</v>
      </c>
      <c r="L8" s="5">
        <v>367</v>
      </c>
      <c r="M8" s="8">
        <v>385</v>
      </c>
      <c r="N8" s="48">
        <v>4841</v>
      </c>
      <c r="O8" s="6">
        <v>3912</v>
      </c>
      <c r="P8" s="5">
        <v>6861</v>
      </c>
      <c r="Q8" s="5">
        <v>7267</v>
      </c>
      <c r="R8" s="60">
        <v>5695</v>
      </c>
      <c r="S8" s="9">
        <f t="shared" si="2"/>
        <v>4428</v>
      </c>
      <c r="T8" s="6">
        <f t="shared" si="0"/>
        <v>3548</v>
      </c>
      <c r="U8" s="5">
        <f>P8-K8</f>
        <v>6410</v>
      </c>
      <c r="V8" s="5">
        <f t="shared" si="0"/>
        <v>6900</v>
      </c>
      <c r="W8" s="8">
        <f>R8-M8</f>
        <v>5310</v>
      </c>
      <c r="X8" s="64">
        <f t="shared" si="3"/>
        <v>1.2678596993557623</v>
      </c>
      <c r="Y8" s="20">
        <f t="shared" si="1"/>
        <v>1.0158911954187544</v>
      </c>
      <c r="Z8" s="21">
        <f t="shared" si="1"/>
        <v>1.835361488904796</v>
      </c>
      <c r="AA8" s="21">
        <f t="shared" si="1"/>
        <v>1.9756621331424482</v>
      </c>
      <c r="AB8" s="22">
        <f t="shared" si="1"/>
        <v>1.5204008589835361</v>
      </c>
      <c r="AC8" s="3"/>
    </row>
    <row r="9" spans="2:29" x14ac:dyDescent="0.25">
      <c r="B9" s="9">
        <v>4</v>
      </c>
      <c r="C9" s="6" t="s">
        <v>10</v>
      </c>
      <c r="D9" s="6" t="s">
        <v>3</v>
      </c>
      <c r="E9" s="10">
        <v>330</v>
      </c>
      <c r="H9" s="44">
        <v>4</v>
      </c>
      <c r="I9" s="9">
        <v>330</v>
      </c>
      <c r="J9" s="6">
        <v>264</v>
      </c>
      <c r="K9" s="5">
        <v>400</v>
      </c>
      <c r="L9" s="5">
        <v>349</v>
      </c>
      <c r="M9" s="8"/>
      <c r="N9" s="48">
        <v>2642</v>
      </c>
      <c r="O9" s="6">
        <v>2230</v>
      </c>
      <c r="P9" s="5">
        <v>7802</v>
      </c>
      <c r="Q9" s="5">
        <v>4555</v>
      </c>
      <c r="R9" s="60"/>
      <c r="S9" s="9">
        <f t="shared" si="2"/>
        <v>2312</v>
      </c>
      <c r="T9" s="6">
        <f t="shared" si="0"/>
        <v>1966</v>
      </c>
      <c r="U9" s="5">
        <f t="shared" si="0"/>
        <v>7402</v>
      </c>
      <c r="V9" s="5">
        <f t="shared" si="0"/>
        <v>4206</v>
      </c>
      <c r="W9" s="8"/>
      <c r="X9" s="64">
        <f>S9/$S$12</f>
        <v>0.66198997852541164</v>
      </c>
      <c r="Y9" s="20">
        <f t="shared" si="1"/>
        <v>0.56292054402290626</v>
      </c>
      <c r="Z9" s="21">
        <f t="shared" si="1"/>
        <v>2.1193987115246959</v>
      </c>
      <c r="AA9" s="21">
        <f t="shared" si="1"/>
        <v>1.2042949176807445</v>
      </c>
      <c r="AB9" s="22"/>
      <c r="AC9" s="3"/>
    </row>
    <row r="10" spans="2:29" ht="15.75" thickBot="1" x14ac:dyDescent="0.3">
      <c r="B10" s="9">
        <v>4</v>
      </c>
      <c r="C10" s="6" t="s">
        <v>10</v>
      </c>
      <c r="D10" s="6" t="s">
        <v>12</v>
      </c>
      <c r="E10" s="10">
        <v>2642</v>
      </c>
      <c r="H10" s="45">
        <v>5</v>
      </c>
      <c r="I10" s="54">
        <v>357</v>
      </c>
      <c r="J10" s="26">
        <v>270</v>
      </c>
      <c r="K10" s="27">
        <v>402</v>
      </c>
      <c r="L10" s="27">
        <v>322</v>
      </c>
      <c r="M10" s="55"/>
      <c r="N10" s="49">
        <v>4494</v>
      </c>
      <c r="O10" s="26">
        <v>2238</v>
      </c>
      <c r="P10" s="27">
        <v>7935</v>
      </c>
      <c r="Q10" s="27">
        <v>5413</v>
      </c>
      <c r="R10" s="61"/>
      <c r="S10" s="54">
        <f t="shared" si="2"/>
        <v>4137</v>
      </c>
      <c r="T10" s="26">
        <f t="shared" si="0"/>
        <v>1968</v>
      </c>
      <c r="U10" s="27">
        <f t="shared" si="0"/>
        <v>7533</v>
      </c>
      <c r="V10" s="27">
        <f t="shared" si="0"/>
        <v>5091</v>
      </c>
      <c r="W10" s="55"/>
      <c r="X10" s="65">
        <f t="shared" si="3"/>
        <v>1.1845382963493201</v>
      </c>
      <c r="Y10" s="28">
        <f>T10/$S$12</f>
        <v>0.56349319971367218</v>
      </c>
      <c r="Z10" s="29">
        <f t="shared" si="1"/>
        <v>2.1569076592698639</v>
      </c>
      <c r="AA10" s="29">
        <f t="shared" si="1"/>
        <v>1.457695060844667</v>
      </c>
      <c r="AB10" s="30"/>
      <c r="AC10" s="3"/>
    </row>
    <row r="11" spans="2:29" ht="15.75" thickBot="1" x14ac:dyDescent="0.3">
      <c r="B11" s="9">
        <v>5</v>
      </c>
      <c r="C11" s="6" t="s">
        <v>10</v>
      </c>
      <c r="D11" s="6" t="s">
        <v>3</v>
      </c>
      <c r="E11" s="10">
        <v>357</v>
      </c>
      <c r="H11" s="23" t="s">
        <v>17</v>
      </c>
      <c r="I11" s="56">
        <f>AVERAGE(I6:I10)</f>
        <v>389.4</v>
      </c>
      <c r="J11" s="31">
        <f t="shared" ref="J11:L11" si="4">AVERAGE(J6:J10)</f>
        <v>331.4</v>
      </c>
      <c r="K11" s="32">
        <f t="shared" si="4"/>
        <v>425.4</v>
      </c>
      <c r="L11" s="32">
        <f t="shared" si="4"/>
        <v>365.2</v>
      </c>
      <c r="M11" s="57">
        <f>AVERAGE(M6:M10)</f>
        <v>402.66666666666669</v>
      </c>
      <c r="N11" s="50">
        <f>AVERAGE(N6:N10)</f>
        <v>4097.8</v>
      </c>
      <c r="O11" s="31">
        <f t="shared" ref="O11:Q11" si="5">AVERAGE(O6:O10)</f>
        <v>3608</v>
      </c>
      <c r="P11" s="32">
        <f t="shared" si="5"/>
        <v>7564.2</v>
      </c>
      <c r="Q11" s="32">
        <f t="shared" si="5"/>
        <v>6337.2</v>
      </c>
      <c r="R11" s="62">
        <f>AVERAGE(R6:R10)</f>
        <v>6553.333333333333</v>
      </c>
      <c r="S11" s="56">
        <f>AVERAGE(S6:S10)</f>
        <v>3708.4</v>
      </c>
      <c r="T11" s="31">
        <f>AVERAGE(T6:T10)</f>
        <v>3276.6</v>
      </c>
      <c r="U11" s="32">
        <f t="shared" ref="U11" si="6">AVERAGE(U6:U10)</f>
        <v>7138.8</v>
      </c>
      <c r="V11" s="32">
        <f t="shared" ref="V11:AB11" si="7">AVERAGE(V6:V10)</f>
        <v>5972</v>
      </c>
      <c r="W11" s="57">
        <f t="shared" si="7"/>
        <v>6150.666666666667</v>
      </c>
      <c r="X11" s="66">
        <f t="shared" si="7"/>
        <v>1.061818181818182</v>
      </c>
      <c r="Y11" s="33">
        <f t="shared" si="7"/>
        <v>0.93818181818181823</v>
      </c>
      <c r="Z11" s="34">
        <f t="shared" si="7"/>
        <v>2.0440372226198997</v>
      </c>
      <c r="AA11" s="34">
        <f t="shared" si="7"/>
        <v>1.709949892627058</v>
      </c>
      <c r="AB11" s="35">
        <f t="shared" si="7"/>
        <v>1.7611071343354807</v>
      </c>
      <c r="AC11" s="3"/>
    </row>
    <row r="12" spans="2:29" ht="15.75" thickBot="1" x14ac:dyDescent="0.3">
      <c r="B12" s="9">
        <v>5</v>
      </c>
      <c r="C12" s="6" t="s">
        <v>10</v>
      </c>
      <c r="D12" s="6" t="s">
        <v>12</v>
      </c>
      <c r="E12" s="10">
        <v>4494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67" t="s">
        <v>19</v>
      </c>
      <c r="S12" s="68">
        <f>AVERAGE(S11:T11)</f>
        <v>3492.5</v>
      </c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2:29" x14ac:dyDescent="0.25">
      <c r="B13" s="9">
        <v>1</v>
      </c>
      <c r="C13" s="6" t="s">
        <v>11</v>
      </c>
      <c r="D13" s="6" t="s">
        <v>3</v>
      </c>
      <c r="E13" s="10">
        <v>373</v>
      </c>
      <c r="H13" s="2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"/>
      <c r="Y13" s="1"/>
      <c r="Z13" s="1"/>
      <c r="AA13" s="1"/>
      <c r="AB13" s="1"/>
      <c r="AC13" s="3"/>
    </row>
    <row r="14" spans="2:29" x14ac:dyDescent="0.25">
      <c r="B14" s="9">
        <v>1</v>
      </c>
      <c r="C14" s="6" t="s">
        <v>11</v>
      </c>
      <c r="D14" s="6" t="s">
        <v>12</v>
      </c>
      <c r="E14" s="10">
        <v>4301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4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2:29" x14ac:dyDescent="0.25">
      <c r="B15" s="9">
        <v>2</v>
      </c>
      <c r="C15" s="6" t="s">
        <v>11</v>
      </c>
      <c r="D15" s="6" t="s">
        <v>3</v>
      </c>
      <c r="E15" s="10">
        <v>386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2:29" x14ac:dyDescent="0.25">
      <c r="B16" s="9">
        <v>2</v>
      </c>
      <c r="C16" s="6" t="s">
        <v>11</v>
      </c>
      <c r="D16" s="6" t="s">
        <v>12</v>
      </c>
      <c r="E16" s="10">
        <v>5359</v>
      </c>
    </row>
    <row r="17" spans="2:5" x14ac:dyDescent="0.25">
      <c r="B17" s="9">
        <v>3</v>
      </c>
      <c r="C17" s="6" t="s">
        <v>11</v>
      </c>
      <c r="D17" s="6" t="s">
        <v>3</v>
      </c>
      <c r="E17" s="10">
        <v>364</v>
      </c>
    </row>
    <row r="18" spans="2:5" x14ac:dyDescent="0.25">
      <c r="B18" s="9">
        <v>3</v>
      </c>
      <c r="C18" s="6" t="s">
        <v>11</v>
      </c>
      <c r="D18" s="6" t="s">
        <v>12</v>
      </c>
      <c r="E18" s="10">
        <v>3912</v>
      </c>
    </row>
    <row r="19" spans="2:5" x14ac:dyDescent="0.25">
      <c r="B19" s="9">
        <v>4</v>
      </c>
      <c r="C19" s="6" t="s">
        <v>11</v>
      </c>
      <c r="D19" s="6" t="s">
        <v>3</v>
      </c>
      <c r="E19" s="10">
        <v>264</v>
      </c>
    </row>
    <row r="20" spans="2:5" x14ac:dyDescent="0.25">
      <c r="B20" s="9">
        <v>4</v>
      </c>
      <c r="C20" s="6" t="s">
        <v>11</v>
      </c>
      <c r="D20" s="6" t="s">
        <v>12</v>
      </c>
      <c r="E20" s="10">
        <v>2230</v>
      </c>
    </row>
    <row r="21" spans="2:5" x14ac:dyDescent="0.25">
      <c r="B21" s="9">
        <v>5</v>
      </c>
      <c r="C21" s="6" t="s">
        <v>11</v>
      </c>
      <c r="D21" s="6" t="s">
        <v>3</v>
      </c>
      <c r="E21" s="10">
        <v>270</v>
      </c>
    </row>
    <row r="22" spans="2:5" x14ac:dyDescent="0.25">
      <c r="B22" s="9">
        <v>5</v>
      </c>
      <c r="C22" s="6" t="s">
        <v>11</v>
      </c>
      <c r="D22" s="6" t="s">
        <v>12</v>
      </c>
      <c r="E22" s="10">
        <v>2238</v>
      </c>
    </row>
    <row r="23" spans="2:5" x14ac:dyDescent="0.25">
      <c r="B23" s="7">
        <v>1</v>
      </c>
      <c r="C23" s="5" t="s">
        <v>4</v>
      </c>
      <c r="D23" s="5" t="s">
        <v>3</v>
      </c>
      <c r="E23" s="8">
        <v>439</v>
      </c>
    </row>
    <row r="24" spans="2:5" x14ac:dyDescent="0.25">
      <c r="B24" s="7">
        <v>1</v>
      </c>
      <c r="C24" s="5" t="s">
        <v>4</v>
      </c>
      <c r="D24" s="5" t="s">
        <v>12</v>
      </c>
      <c r="E24" s="8">
        <v>6931</v>
      </c>
    </row>
    <row r="25" spans="2:5" x14ac:dyDescent="0.25">
      <c r="B25" s="7">
        <v>2</v>
      </c>
      <c r="C25" s="5" t="s">
        <v>5</v>
      </c>
      <c r="D25" s="5" t="s">
        <v>3</v>
      </c>
      <c r="E25" s="8">
        <v>435</v>
      </c>
    </row>
    <row r="26" spans="2:5" x14ac:dyDescent="0.25">
      <c r="B26" s="7">
        <v>2</v>
      </c>
      <c r="C26" s="5" t="s">
        <v>5</v>
      </c>
      <c r="D26" s="5" t="s">
        <v>12</v>
      </c>
      <c r="E26" s="8">
        <v>8292</v>
      </c>
    </row>
    <row r="27" spans="2:5" x14ac:dyDescent="0.25">
      <c r="B27" s="7">
        <v>3</v>
      </c>
      <c r="C27" s="5" t="s">
        <v>5</v>
      </c>
      <c r="D27" s="5" t="s">
        <v>3</v>
      </c>
      <c r="E27" s="8">
        <v>451</v>
      </c>
    </row>
    <row r="28" spans="2:5" x14ac:dyDescent="0.25">
      <c r="B28" s="7">
        <v>3</v>
      </c>
      <c r="C28" s="5" t="s">
        <v>5</v>
      </c>
      <c r="D28" s="5" t="s">
        <v>12</v>
      </c>
      <c r="E28" s="8">
        <v>6861</v>
      </c>
    </row>
    <row r="29" spans="2:5" x14ac:dyDescent="0.25">
      <c r="B29" s="7">
        <v>4</v>
      </c>
      <c r="C29" s="5" t="s">
        <v>5</v>
      </c>
      <c r="D29" s="5" t="s">
        <v>3</v>
      </c>
      <c r="E29" s="8">
        <v>400</v>
      </c>
    </row>
    <row r="30" spans="2:5" x14ac:dyDescent="0.25">
      <c r="B30" s="7">
        <v>4</v>
      </c>
      <c r="C30" s="5" t="s">
        <v>5</v>
      </c>
      <c r="D30" s="5" t="s">
        <v>12</v>
      </c>
      <c r="E30" s="8">
        <v>7802</v>
      </c>
    </row>
    <row r="31" spans="2:5" x14ac:dyDescent="0.25">
      <c r="B31" s="7">
        <v>5</v>
      </c>
      <c r="C31" s="5" t="s">
        <v>5</v>
      </c>
      <c r="D31" s="5" t="s">
        <v>3</v>
      </c>
      <c r="E31" s="8">
        <v>402</v>
      </c>
    </row>
    <row r="32" spans="2:5" x14ac:dyDescent="0.25">
      <c r="B32" s="7">
        <v>5</v>
      </c>
      <c r="C32" s="5" t="s">
        <v>5</v>
      </c>
      <c r="D32" s="5" t="s">
        <v>12</v>
      </c>
      <c r="E32" s="8">
        <v>7935</v>
      </c>
    </row>
    <row r="33" spans="2:5" x14ac:dyDescent="0.25">
      <c r="B33" s="7">
        <v>1</v>
      </c>
      <c r="C33" s="5" t="s">
        <v>6</v>
      </c>
      <c r="D33" s="5" t="s">
        <v>3</v>
      </c>
      <c r="E33" s="8">
        <v>398</v>
      </c>
    </row>
    <row r="34" spans="2:5" x14ac:dyDescent="0.25">
      <c r="B34" s="7">
        <v>1</v>
      </c>
      <c r="C34" s="5" t="s">
        <v>6</v>
      </c>
      <c r="D34" s="5" t="s">
        <v>12</v>
      </c>
      <c r="E34" s="8">
        <v>6325</v>
      </c>
    </row>
    <row r="35" spans="2:5" x14ac:dyDescent="0.25">
      <c r="B35" s="7">
        <v>2</v>
      </c>
      <c r="C35" s="5" t="s">
        <v>7</v>
      </c>
      <c r="D35" s="5" t="s">
        <v>3</v>
      </c>
      <c r="E35" s="8">
        <v>390</v>
      </c>
    </row>
    <row r="36" spans="2:5" x14ac:dyDescent="0.25">
      <c r="B36" s="7">
        <v>2</v>
      </c>
      <c r="C36" s="5" t="s">
        <v>7</v>
      </c>
      <c r="D36" s="5" t="s">
        <v>12</v>
      </c>
      <c r="E36" s="8">
        <v>8126</v>
      </c>
    </row>
    <row r="37" spans="2:5" x14ac:dyDescent="0.25">
      <c r="B37" s="7">
        <v>3</v>
      </c>
      <c r="C37" s="5" t="s">
        <v>7</v>
      </c>
      <c r="D37" s="5" t="s">
        <v>3</v>
      </c>
      <c r="E37" s="8">
        <v>367</v>
      </c>
    </row>
    <row r="38" spans="2:5" x14ac:dyDescent="0.25">
      <c r="B38" s="7">
        <v>3</v>
      </c>
      <c r="C38" s="5" t="s">
        <v>7</v>
      </c>
      <c r="D38" s="5" t="s">
        <v>12</v>
      </c>
      <c r="E38" s="8">
        <v>7267</v>
      </c>
    </row>
    <row r="39" spans="2:5" x14ac:dyDescent="0.25">
      <c r="B39" s="7">
        <v>4</v>
      </c>
      <c r="C39" s="5" t="s">
        <v>7</v>
      </c>
      <c r="D39" s="5" t="s">
        <v>3</v>
      </c>
      <c r="E39" s="8">
        <v>349</v>
      </c>
    </row>
    <row r="40" spans="2:5" x14ac:dyDescent="0.25">
      <c r="B40" s="7">
        <v>4</v>
      </c>
      <c r="C40" s="5" t="s">
        <v>7</v>
      </c>
      <c r="D40" s="5" t="s">
        <v>12</v>
      </c>
      <c r="E40" s="8">
        <v>4555</v>
      </c>
    </row>
    <row r="41" spans="2:5" x14ac:dyDescent="0.25">
      <c r="B41" s="7">
        <v>5</v>
      </c>
      <c r="C41" s="5" t="s">
        <v>7</v>
      </c>
      <c r="D41" s="5" t="s">
        <v>3</v>
      </c>
      <c r="E41" s="8">
        <v>322</v>
      </c>
    </row>
    <row r="42" spans="2:5" x14ac:dyDescent="0.25">
      <c r="B42" s="7">
        <v>5</v>
      </c>
      <c r="C42" s="5" t="s">
        <v>7</v>
      </c>
      <c r="D42" s="5" t="s">
        <v>12</v>
      </c>
      <c r="E42" s="8">
        <v>5413</v>
      </c>
    </row>
    <row r="43" spans="2:5" x14ac:dyDescent="0.25">
      <c r="B43" s="7">
        <v>1</v>
      </c>
      <c r="C43" s="5" t="s">
        <v>8</v>
      </c>
      <c r="D43" s="5" t="s">
        <v>3</v>
      </c>
      <c r="E43" s="8">
        <v>412</v>
      </c>
    </row>
    <row r="44" spans="2:5" x14ac:dyDescent="0.25">
      <c r="B44" s="7">
        <v>1</v>
      </c>
      <c r="C44" s="5" t="s">
        <v>8</v>
      </c>
      <c r="D44" s="5" t="s">
        <v>12</v>
      </c>
      <c r="E44" s="8">
        <v>6499</v>
      </c>
    </row>
    <row r="45" spans="2:5" x14ac:dyDescent="0.25">
      <c r="B45" s="7">
        <v>2</v>
      </c>
      <c r="C45" s="5" t="s">
        <v>8</v>
      </c>
      <c r="D45" s="5" t="s">
        <v>3</v>
      </c>
      <c r="E45" s="8">
        <v>411</v>
      </c>
    </row>
    <row r="46" spans="2:5" x14ac:dyDescent="0.25">
      <c r="B46" s="7">
        <v>2</v>
      </c>
      <c r="C46" s="5" t="s">
        <v>8</v>
      </c>
      <c r="D46" s="5" t="s">
        <v>12</v>
      </c>
      <c r="E46" s="8">
        <v>7466</v>
      </c>
    </row>
    <row r="47" spans="2:5" x14ac:dyDescent="0.25">
      <c r="B47" s="7">
        <v>3</v>
      </c>
      <c r="C47" s="5" t="s">
        <v>8</v>
      </c>
      <c r="D47" s="5" t="s">
        <v>3</v>
      </c>
      <c r="E47" s="8">
        <v>385</v>
      </c>
    </row>
    <row r="48" spans="2:5" ht="15.75" thickBot="1" x14ac:dyDescent="0.3">
      <c r="B48" s="12">
        <v>3</v>
      </c>
      <c r="C48" s="14" t="s">
        <v>8</v>
      </c>
      <c r="D48" s="14" t="s">
        <v>12</v>
      </c>
      <c r="E48" s="16">
        <v>5695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Figure_5A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OA5</dc:creator>
  <cp:lastModifiedBy>Draber</cp:lastModifiedBy>
  <dcterms:created xsi:type="dcterms:W3CDTF">2023-08-22T10:17:11Z</dcterms:created>
  <dcterms:modified xsi:type="dcterms:W3CDTF">2025-11-07T20:21:12Z</dcterms:modified>
</cp:coreProperties>
</file>