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6\Figure 6E\"/>
    </mc:Choice>
  </mc:AlternateContent>
  <xr:revisionPtr revIDLastSave="0" documentId="13_ncr:1_{A5E4988F-3880-4F28-8E62-ABD1599B61BF}" xr6:coauthVersionLast="47" xr6:coauthVersionMax="47" xr10:uidLastSave="{00000000-0000-0000-0000-000000000000}"/>
  <bookViews>
    <workbookView xWindow="-120" yWindow="-120" windowWidth="38640" windowHeight="21120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  <c r="D12" i="1"/>
  <c r="E12" i="1"/>
  <c r="D14" i="1"/>
  <c r="D13" i="1" s="1"/>
  <c r="E13" i="1"/>
  <c r="C12" i="1"/>
  <c r="C14" i="1"/>
  <c r="C13" i="1" s="1"/>
</calcChain>
</file>

<file path=xl/sharedStrings.xml><?xml version="1.0" encoding="utf-8"?>
<sst xmlns="http://schemas.openxmlformats.org/spreadsheetml/2006/main" count="7" uniqueCount="7">
  <si>
    <t>Average</t>
  </si>
  <si>
    <t>SEM</t>
  </si>
  <si>
    <t>n</t>
  </si>
  <si>
    <t>Control</t>
  </si>
  <si>
    <t>PacL2/CtpG</t>
  </si>
  <si>
    <r>
      <t>PacL2</t>
    </r>
    <r>
      <rPr>
        <vertAlign val="superscript"/>
        <sz val="10"/>
        <rFont val="Arial"/>
        <family val="2"/>
      </rPr>
      <t>ΔE55-A84</t>
    </r>
    <r>
      <rPr>
        <sz val="10"/>
        <rFont val="Arial"/>
        <family val="2"/>
      </rPr>
      <t>/CtpG</t>
    </r>
  </si>
  <si>
    <t>GFP+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</si>
</sst>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I14"/>
  <sheetViews>
    <sheetView tabSelected="1" workbookViewId="0">
      <selection activeCell="H12" sqref="H12"/>
    </sheetView>
  </sheetViews>
  <sheetFormatPr baseColWidth="10" defaultRowHeight="15" x14ac:dyDescent="0.25"/>
  <cols>
    <col min="2" max="5" width="15.7109375" customWidth="1"/>
  </cols>
  <sheetData>
    <row r="2" spans="2:9" x14ac:dyDescent="0.25">
      <c r="C2" s="8" t="s">
        <v>6</v>
      </c>
      <c r="D2" s="8"/>
      <c r="E2" s="8"/>
    </row>
    <row r="3" spans="2:9" x14ac:dyDescent="0.25">
      <c r="C3" s="7" t="s">
        <v>3</v>
      </c>
      <c r="D3" s="7" t="s">
        <v>4</v>
      </c>
      <c r="E3" s="7" t="s">
        <v>5</v>
      </c>
      <c r="G3" s="5"/>
      <c r="H3" s="5"/>
      <c r="I3" s="5"/>
    </row>
    <row r="4" spans="2:9" x14ac:dyDescent="0.25">
      <c r="C4" s="6">
        <v>0.25</v>
      </c>
      <c r="D4" s="6">
        <v>98.9</v>
      </c>
      <c r="E4" s="6">
        <v>3.1E-2</v>
      </c>
      <c r="G4" s="4"/>
      <c r="H4" s="4"/>
      <c r="I4" s="4"/>
    </row>
    <row r="5" spans="2:9" x14ac:dyDescent="0.25">
      <c r="C5" s="6">
        <v>0.25</v>
      </c>
      <c r="D5" s="6">
        <v>99.1</v>
      </c>
      <c r="E5" s="6">
        <v>2.5000000000000001E-2</v>
      </c>
      <c r="G5" s="4"/>
      <c r="H5" s="4"/>
      <c r="I5" s="4"/>
    </row>
    <row r="6" spans="2:9" x14ac:dyDescent="0.25">
      <c r="C6" s="6">
        <v>0.44</v>
      </c>
      <c r="D6" s="6">
        <v>95.3</v>
      </c>
      <c r="E6" s="6">
        <v>1E-3</v>
      </c>
      <c r="G6" s="4"/>
      <c r="H6" s="4"/>
      <c r="I6" s="4"/>
    </row>
    <row r="7" spans="2:9" x14ac:dyDescent="0.25">
      <c r="C7" s="6">
        <v>0.4</v>
      </c>
      <c r="D7" s="6">
        <v>95.4</v>
      </c>
      <c r="E7" s="6">
        <v>1E-3</v>
      </c>
      <c r="G7" s="4"/>
      <c r="H7" s="4"/>
      <c r="I7" s="4"/>
    </row>
    <row r="8" spans="2:9" x14ac:dyDescent="0.25">
      <c r="C8" s="6">
        <v>0.32</v>
      </c>
      <c r="D8" s="6">
        <v>95.1</v>
      </c>
      <c r="E8" s="6">
        <v>2.3E-2</v>
      </c>
      <c r="G8" s="4"/>
      <c r="H8" s="4"/>
      <c r="I8" s="4"/>
    </row>
    <row r="9" spans="2:9" x14ac:dyDescent="0.25">
      <c r="C9" s="6">
        <v>0.31</v>
      </c>
      <c r="D9" s="6">
        <v>96.3</v>
      </c>
      <c r="E9" s="6">
        <v>0.21</v>
      </c>
      <c r="G9" s="4"/>
      <c r="H9" s="4"/>
      <c r="I9" s="4"/>
    </row>
    <row r="10" spans="2:9" x14ac:dyDescent="0.25">
      <c r="C10" s="6">
        <v>0.16</v>
      </c>
      <c r="D10" s="6">
        <v>97.1</v>
      </c>
      <c r="E10" s="6">
        <v>3.7999999999999999E-2</v>
      </c>
      <c r="G10" s="4"/>
      <c r="H10" s="4"/>
      <c r="I10" s="4"/>
    </row>
    <row r="11" spans="2:9" x14ac:dyDescent="0.25">
      <c r="C11" s="6">
        <v>0.31</v>
      </c>
      <c r="D11" s="6">
        <v>95.7</v>
      </c>
      <c r="E11" s="6">
        <v>2.1000000000000001E-2</v>
      </c>
      <c r="G11" s="4"/>
      <c r="H11" s="4"/>
      <c r="I11" s="4"/>
    </row>
    <row r="12" spans="2:9" x14ac:dyDescent="0.25">
      <c r="B12" s="3" t="s">
        <v>0</v>
      </c>
      <c r="C12" s="2">
        <f>AVERAGE(C4:C11)</f>
        <v>0.30499999999999999</v>
      </c>
      <c r="D12" s="2">
        <f>AVERAGE(D4:D11)</f>
        <v>96.612500000000011</v>
      </c>
      <c r="E12" s="2">
        <f>AVERAGE(E4:E11)</f>
        <v>4.3749999999999997E-2</v>
      </c>
    </row>
    <row r="13" spans="2:9" x14ac:dyDescent="0.25">
      <c r="B13" s="3" t="s">
        <v>1</v>
      </c>
      <c r="C13" s="2">
        <f>STDEV(C4:C11)/SQRT(C14)</f>
        <v>3.1224989991991983E-2</v>
      </c>
      <c r="D13" s="2">
        <f>STDEV(D4:D11)/SQRT(D14)</f>
        <v>0.56802838837508818</v>
      </c>
      <c r="E13" s="2">
        <f>STDEV(E4:E11)/SQRT(E14)</f>
        <v>2.4197660748805565E-2</v>
      </c>
    </row>
    <row r="14" spans="2:9" x14ac:dyDescent="0.25">
      <c r="B14" s="3" t="s">
        <v>2</v>
      </c>
      <c r="C14" s="1">
        <f>COUNT(C4:C11)</f>
        <v>8</v>
      </c>
      <c r="D14" s="1">
        <f>COUNT(D4:D11)</f>
        <v>8</v>
      </c>
      <c r="E14" s="1">
        <f>COUNT(E4:E11)</f>
        <v>8</v>
      </c>
    </row>
  </sheetData>
  <mergeCells count="1">
    <mergeCell ref="C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2025-11-14T15:08:43Z</dcterms:modified>
</cp:coreProperties>
</file>