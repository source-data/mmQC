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6\Figure 6F\"/>
    </mc:Choice>
  </mc:AlternateContent>
  <xr:revisionPtr revIDLastSave="0" documentId="13_ncr:1_{EBF7D41D-B603-4951-AB89-CC0194E4DCC5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D10" i="1"/>
  <c r="E10" i="1"/>
  <c r="D12" i="1"/>
  <c r="D11" i="1" s="1"/>
  <c r="E11" i="1"/>
  <c r="C10" i="1"/>
  <c r="C12" i="1"/>
  <c r="C11" i="1" s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<sst xmlns="http://schemas.openxmlformats.org/spreadsheetml/2006/main" count="7" uniqueCount="7">
  <si>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</si>
  <si>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</si>
  <si>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</si>
  <si>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empty vector</t>
  </si>
  <si>
    <t>pacL2-ctpG</t>
  </si>
  <si>
    <t>pacL2Δ55-84-ctpG</t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</si>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</sst>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E12"/>
  <sheetViews>
    <sheetView tabSelected="1" workbookViewId="0">
      <selection activeCell="K13" sqref="K13"/>
    </sheetView>
  </sheetViews>
  <sheetFormatPr baseColWidth="10" defaultRowHeight="15" x14ac:dyDescent="0.25"/>
  <cols>
    <col min="2" max="5" width="15.7109375" customWidth="1"/>
  </cols>
  <sheetData>
    <row r="2" spans="2:5" x14ac:dyDescent="0.25">
      <c r="C2" s="6" t="s">
        <v>6</v>
      </c>
      <c r="D2" s="6"/>
      <c r="E2" s="6"/>
    </row>
    <row r="3" spans="2:5" x14ac:dyDescent="0.25">
      <c r="C3" s="5" t="s">
        <v>3</v>
      </c>
      <c r="D3" s="5" t="s">
        <v>4</v>
      </c>
      <c r="E3" s="5" t="s">
        <v>5</v>
      </c>
    </row>
    <row r="4" spans="2:5" x14ac:dyDescent="0.25">
      <c r="C4" s="4">
        <v>100</v>
      </c>
      <c r="D4" s="4">
        <v>39.5</v>
      </c>
      <c r="E4" s="4">
        <v>89.5</v>
      </c>
    </row>
    <row r="5" spans="2:5" x14ac:dyDescent="0.25">
      <c r="C5" s="4">
        <v>100</v>
      </c>
      <c r="D5" s="4">
        <v>42.1</v>
      </c>
      <c r="E5" s="4">
        <v>89.5</v>
      </c>
    </row>
    <row r="6" spans="2:5" x14ac:dyDescent="0.25">
      <c r="C6" s="4">
        <v>100</v>
      </c>
      <c r="D6" s="4">
        <v>42.1</v>
      </c>
      <c r="E6" s="4">
        <v>84.2</v>
      </c>
    </row>
    <row r="7" spans="2:5" x14ac:dyDescent="0.25">
      <c r="C7" s="4">
        <v>100</v>
      </c>
      <c r="D7" s="4">
        <v>53.8</v>
      </c>
      <c r="E7" s="4">
        <v>92.3</v>
      </c>
    </row>
    <row r="8" spans="2:5" x14ac:dyDescent="0.25">
      <c r="C8" s="4">
        <v>100</v>
      </c>
      <c r="D8" s="4">
        <v>55.3</v>
      </c>
      <c r="E8" s="4">
        <v>94.7</v>
      </c>
    </row>
    <row r="9" spans="2:5" x14ac:dyDescent="0.25">
      <c r="C9" s="4">
        <v>100</v>
      </c>
      <c r="D9" s="4">
        <v>51.3</v>
      </c>
      <c r="E9" s="4">
        <v>92.3</v>
      </c>
    </row>
    <row r="10" spans="2:5" x14ac:dyDescent="0.25">
      <c r="B10" s="3" t="s">
        <v>0</v>
      </c>
      <c r="C10" s="2">
        <f>AVERAGE(C4:C9)</f>
        <v>100</v>
      </c>
      <c r="D10" s="2">
        <f>AVERAGE(D4:D9)</f>
        <v>47.35</v>
      </c>
      <c r="E10" s="2">
        <f>AVERAGE(E4:E9)</f>
        <v>90.416666666666671</v>
      </c>
    </row>
    <row r="11" spans="2:5" x14ac:dyDescent="0.25">
      <c r="B11" s="3" t="s">
        <v>1</v>
      </c>
      <c r="C11" s="2">
        <f>STDEV(C4:C9)/SQRT(C12)</f>
        <v>0</v>
      </c>
      <c r="D11" s="2">
        <f>STDEV(D4:D9)/SQRT(D12)</f>
        <v>2.8116128230370747</v>
      </c>
      <c r="E11" s="2">
        <f>STDEV(E4:E9)/SQRT(E12)</f>
        <v>1.480634248481973</v>
      </c>
    </row>
    <row r="12" spans="2:5" x14ac:dyDescent="0.25">
      <c r="B12" s="3" t="s">
        <v>2</v>
      </c>
      <c r="C12" s="1">
        <f>COUNT(C4:C9)</f>
        <v>6</v>
      </c>
      <c r="D12" s="1">
        <f>COUNT(D4:D9)</f>
        <v>6</v>
      </c>
      <c r="E12" s="1">
        <f>COUNT(E4:E9)</f>
        <v>6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2025-11-14T15:09:14Z</dcterms:modified>
</cp:coreProperties>
</file>