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H\"/>
    </mc:Choice>
  </mc:AlternateContent>
  <xr:revisionPtr revIDLastSave="0" documentId="13_ncr:1_{7C76AF71-15D7-4AEE-9999-05954BAF5D93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F20" i="1"/>
  <c r="F21" i="1"/>
  <c r="D20" i="1"/>
  <c r="E20" i="1"/>
  <c r="D22" i="1"/>
  <c r="D21" i="1" s="1"/>
  <c r="E22" i="1"/>
  <c r="E21" i="1" s="1"/>
  <c r="C20" i="1"/>
  <c r="C22" i="1"/>
  <c r="C21" i="1" s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<sst xmlns="http://schemas.openxmlformats.org/spreadsheetml/2006/main" count="8" uniqueCount="8">
  <si>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</si>
  <si>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</si>
  <si>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</si>
  <si>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Background</t>
  </si>
  <si>
    <t>WT</t>
  </si>
  <si>
    <t>Δ54-86</t>
  </si>
  <si>
    <t>Δ37-86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</si>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</sst>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G22"/>
  <sheetViews>
    <sheetView tabSelected="1" workbookViewId="0">
      <selection sqref="A1:XFD1"/>
    </sheetView>
  </sheetViews>
  <sheetFormatPr baseColWidth="10" defaultRowHeight="15" x14ac:dyDescent="0.25"/>
  <cols>
    <col min="2" max="5" width="15.7109375" customWidth="1"/>
  </cols>
  <sheetData>
    <row r="2" spans="3:7" x14ac:dyDescent="0.25">
      <c r="C2" s="8" t="s">
        <v>7</v>
      </c>
      <c r="D2" s="8"/>
      <c r="E2" s="8"/>
      <c r="F2" s="8"/>
    </row>
    <row r="3" spans="3:7" x14ac:dyDescent="0.25">
      <c r="C3" s="4" t="s">
        <v>3</v>
      </c>
      <c r="D3" s="4" t="s">
        <v>4</v>
      </c>
      <c r="E3" s="4" t="s">
        <v>5</v>
      </c>
      <c r="F3" s="4" t="s">
        <v>6</v>
      </c>
      <c r="G3" s="6"/>
    </row>
    <row r="4" spans="3:7" x14ac:dyDescent="0.25">
      <c r="C4" s="7">
        <v>215</v>
      </c>
      <c r="D4" s="7">
        <v>4058</v>
      </c>
      <c r="E4" s="7">
        <v>7924</v>
      </c>
      <c r="F4" s="7">
        <v>5655</v>
      </c>
      <c r="G4" s="5"/>
    </row>
    <row r="5" spans="3:7" x14ac:dyDescent="0.25">
      <c r="C5" s="7">
        <v>263</v>
      </c>
      <c r="D5" s="7">
        <v>5387</v>
      </c>
      <c r="E5" s="7">
        <v>4987</v>
      </c>
      <c r="F5" s="7">
        <v>4820</v>
      </c>
      <c r="G5" s="5"/>
    </row>
    <row r="6" spans="3:7" x14ac:dyDescent="0.25">
      <c r="C6" s="7">
        <v>249</v>
      </c>
      <c r="D6" s="7">
        <v>6634</v>
      </c>
      <c r="E6" s="7">
        <v>5769</v>
      </c>
      <c r="F6" s="7">
        <v>4136</v>
      </c>
      <c r="G6" s="5"/>
    </row>
    <row r="7" spans="3:7" x14ac:dyDescent="0.25">
      <c r="C7" s="7">
        <v>215</v>
      </c>
      <c r="D7" s="7">
        <v>7808</v>
      </c>
      <c r="E7" s="7">
        <v>6153</v>
      </c>
      <c r="F7" s="7">
        <v>3967</v>
      </c>
      <c r="G7" s="5"/>
    </row>
    <row r="8" spans="3:7" x14ac:dyDescent="0.25">
      <c r="C8" s="7">
        <v>261</v>
      </c>
      <c r="D8" s="7">
        <v>6719</v>
      </c>
      <c r="E8" s="7">
        <v>6342</v>
      </c>
      <c r="F8" s="7">
        <v>4760</v>
      </c>
      <c r="G8" s="5"/>
    </row>
    <row r="9" spans="3:7" x14ac:dyDescent="0.25">
      <c r="C9" s="7">
        <v>247</v>
      </c>
      <c r="D9" s="7">
        <v>6615</v>
      </c>
      <c r="E9" s="7">
        <v>5906</v>
      </c>
      <c r="F9" s="7">
        <v>4319</v>
      </c>
      <c r="G9" s="5"/>
    </row>
    <row r="10" spans="3:7" x14ac:dyDescent="0.25">
      <c r="C10" s="7">
        <v>208</v>
      </c>
      <c r="D10" s="7">
        <v>7685</v>
      </c>
      <c r="E10" s="7">
        <v>5177</v>
      </c>
      <c r="F10" s="7">
        <v>4862</v>
      </c>
      <c r="G10" s="5"/>
    </row>
    <row r="11" spans="3:7" x14ac:dyDescent="0.25">
      <c r="C11" s="7">
        <v>249</v>
      </c>
      <c r="D11" s="7">
        <v>6405</v>
      </c>
      <c r="E11" s="7">
        <v>11137</v>
      </c>
      <c r="F11" s="7">
        <v>6625</v>
      </c>
      <c r="G11" s="5"/>
    </row>
    <row r="12" spans="3:7" x14ac:dyDescent="0.25">
      <c r="C12" s="7">
        <v>242</v>
      </c>
      <c r="D12" s="7">
        <v>7559</v>
      </c>
      <c r="E12" s="7">
        <v>9494</v>
      </c>
      <c r="F12" s="7">
        <v>4533</v>
      </c>
      <c r="G12" s="5"/>
    </row>
    <row r="13" spans="3:7" x14ac:dyDescent="0.25">
      <c r="C13" s="7">
        <v>201</v>
      </c>
      <c r="D13" s="7">
        <v>8822</v>
      </c>
      <c r="E13" s="7">
        <v>8882</v>
      </c>
      <c r="F13" s="7">
        <v>4157</v>
      </c>
      <c r="G13" s="5"/>
    </row>
    <row r="14" spans="3:7" x14ac:dyDescent="0.25">
      <c r="C14" s="7">
        <v>258</v>
      </c>
      <c r="D14" s="7">
        <v>4705</v>
      </c>
      <c r="E14" s="7">
        <v>6556</v>
      </c>
      <c r="F14" s="7">
        <v>4701</v>
      </c>
      <c r="G14" s="5"/>
    </row>
    <row r="15" spans="3:7" x14ac:dyDescent="0.25">
      <c r="C15" s="7">
        <v>246</v>
      </c>
      <c r="D15" s="7">
        <v>14759</v>
      </c>
      <c r="E15" s="7">
        <v>5709</v>
      </c>
      <c r="F15" s="7">
        <v>4612</v>
      </c>
      <c r="G15" s="5"/>
    </row>
    <row r="16" spans="3:7" x14ac:dyDescent="0.25">
      <c r="C16" s="7"/>
      <c r="D16" s="7">
        <v>6756</v>
      </c>
      <c r="E16" s="7">
        <v>6675</v>
      </c>
      <c r="F16" s="7">
        <v>3560</v>
      </c>
      <c r="G16" s="5"/>
    </row>
    <row r="17" spans="2:7" x14ac:dyDescent="0.25">
      <c r="C17" s="7"/>
      <c r="D17" s="7">
        <v>6517</v>
      </c>
      <c r="E17" s="7">
        <v>5943</v>
      </c>
      <c r="F17" s="7">
        <v>6280</v>
      </c>
      <c r="G17" s="5"/>
    </row>
    <row r="18" spans="2:7" x14ac:dyDescent="0.25">
      <c r="C18" s="7"/>
      <c r="D18" s="7">
        <v>7975</v>
      </c>
      <c r="E18" s="7">
        <v>4918</v>
      </c>
      <c r="F18" s="7">
        <v>4016</v>
      </c>
      <c r="G18" s="5"/>
    </row>
    <row r="19" spans="2:7" x14ac:dyDescent="0.25">
      <c r="C19" s="7"/>
      <c r="D19" s="7">
        <v>7826</v>
      </c>
      <c r="E19" s="7">
        <v>7844</v>
      </c>
      <c r="F19" s="7">
        <v>1985</v>
      </c>
      <c r="G19" s="5"/>
    </row>
    <row r="20" spans="2:7" x14ac:dyDescent="0.25">
      <c r="B20" s="3" t="s">
        <v>0</v>
      </c>
      <c r="C20" s="2">
        <f>AVERAGE(C4:C19)</f>
        <v>237.83333333333334</v>
      </c>
      <c r="D20" s="2">
        <f>AVERAGE(D4:D19)</f>
        <v>7264.375</v>
      </c>
      <c r="E20" s="2">
        <f>AVERAGE(E4:E19)</f>
        <v>6838.5</v>
      </c>
      <c r="F20" s="2">
        <f>AVERAGE(F4:F19)</f>
        <v>4561.75</v>
      </c>
    </row>
    <row r="21" spans="2:7" x14ac:dyDescent="0.25">
      <c r="B21" s="3" t="s">
        <v>1</v>
      </c>
      <c r="C21" s="2">
        <f>STDEV(C4:C19)/SQRT(C22)</f>
        <v>6.3267509653674372</v>
      </c>
      <c r="D21" s="2">
        <f>STDEV(D4:D19)/SQRT(D22)</f>
        <v>588.08686911458926</v>
      </c>
      <c r="E21" s="2">
        <f>STDEV(E4:E19)/SQRT(E22)</f>
        <v>441.0451979861777</v>
      </c>
      <c r="F21" s="2">
        <f>STDEV(F4:F19)/SQRT(F22)</f>
        <v>268.65556480370924</v>
      </c>
    </row>
    <row r="22" spans="2:7" x14ac:dyDescent="0.25">
      <c r="B22" s="3" t="s">
        <v>2</v>
      </c>
      <c r="C22" s="1">
        <f>COUNT(C4:C19)</f>
        <v>12</v>
      </c>
      <c r="D22" s="1">
        <f>COUNT(D4:D19)</f>
        <v>16</v>
      </c>
      <c r="E22" s="1">
        <f>COUNT(E4:E19)</f>
        <v>16</v>
      </c>
      <c r="F22" s="1">
        <f>COUNT(F4:F19)</f>
        <v>16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2025-11-14T15:07:53Z</dcterms:modified>
</cp:coreProperties>
</file>