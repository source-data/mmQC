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6\Figure 6C\"/>
    </mc:Choice>
  </mc:AlternateContent>
  <xr:revisionPtr revIDLastSave="0" documentId="13_ncr:1_{AB5F0C8B-F71D-452B-B870-0A6FE02656F7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E25" i="1"/>
  <c r="D27" i="1"/>
  <c r="D26" i="1" s="1"/>
  <c r="E27" i="1"/>
  <c r="E26" i="1" s="1"/>
  <c r="C25" i="1"/>
  <c r="C26" i="1"/>
  <c r="C27" i="1"/>
</calcChain>
</file>

<file path=xl/sharedStrings.xml><?xml version="1.0" encoding="utf-8"?>
<sst xmlns="http://schemas.openxmlformats.org/spreadsheetml/2006/main" count="7" uniqueCount="7">
  <si>
    <t>Average</t>
  </si>
  <si>
    <t>SEM</t>
  </si>
  <si>
    <t>n</t>
  </si>
  <si>
    <t>Background</t>
  </si>
  <si>
    <t>WT</t>
  </si>
  <si>
    <t>Δ55-84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</si>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</sst>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K27"/>
  <sheetViews>
    <sheetView tabSelected="1" workbookViewId="0">
      <selection activeCell="B5" sqref="B5"/>
    </sheetView>
  </sheetViews>
  <sheetFormatPr baseColWidth="10" defaultRowHeight="15" x14ac:dyDescent="0.25"/>
  <cols>
    <col min="2" max="5" width="15.7109375" customWidth="1"/>
  </cols>
  <sheetData>
    <row r="2" spans="3:11" x14ac:dyDescent="0.25">
      <c r="C2" s="8" t="s">
        <v>6</v>
      </c>
      <c r="D2" s="8"/>
      <c r="E2" s="8"/>
    </row>
    <row r="3" spans="3:11" x14ac:dyDescent="0.25">
      <c r="C3" s="4" t="s">
        <v>3</v>
      </c>
      <c r="D3" s="4" t="s">
        <v>4</v>
      </c>
      <c r="E3" s="4" t="s">
        <v>5</v>
      </c>
      <c r="I3" s="6"/>
      <c r="J3" s="6"/>
      <c r="K3" s="6"/>
    </row>
    <row r="4" spans="3:11" x14ac:dyDescent="0.25">
      <c r="C4" s="7">
        <v>174</v>
      </c>
      <c r="D4" s="7">
        <v>8457</v>
      </c>
      <c r="E4" s="7">
        <v>6378</v>
      </c>
      <c r="I4" s="5"/>
      <c r="J4" s="5"/>
      <c r="K4" s="5"/>
    </row>
    <row r="5" spans="3:11" x14ac:dyDescent="0.25">
      <c r="C5" s="7">
        <v>185</v>
      </c>
      <c r="D5" s="7">
        <v>5263</v>
      </c>
      <c r="E5" s="7">
        <v>7320</v>
      </c>
      <c r="I5" s="5"/>
      <c r="J5" s="5"/>
      <c r="K5" s="5"/>
    </row>
    <row r="6" spans="3:11" x14ac:dyDescent="0.25">
      <c r="C6" s="7">
        <v>183</v>
      </c>
      <c r="D6" s="7">
        <v>7387</v>
      </c>
      <c r="E6" s="7">
        <v>3557</v>
      </c>
      <c r="I6" s="5"/>
      <c r="J6" s="5"/>
      <c r="K6" s="5"/>
    </row>
    <row r="7" spans="3:11" x14ac:dyDescent="0.25">
      <c r="C7" s="7">
        <v>178</v>
      </c>
      <c r="D7" s="7">
        <v>7632</v>
      </c>
      <c r="E7" s="7">
        <v>5922</v>
      </c>
      <c r="I7" s="5"/>
      <c r="J7" s="5"/>
      <c r="K7" s="5"/>
    </row>
    <row r="8" spans="3:11" x14ac:dyDescent="0.25">
      <c r="C8" s="7">
        <v>178</v>
      </c>
      <c r="D8" s="7">
        <v>7415</v>
      </c>
      <c r="E8" s="7">
        <v>3956</v>
      </c>
      <c r="I8" s="5"/>
      <c r="J8" s="5"/>
      <c r="K8" s="5"/>
    </row>
    <row r="9" spans="3:11" x14ac:dyDescent="0.25">
      <c r="C9" s="7">
        <v>173</v>
      </c>
      <c r="D9" s="7">
        <v>6666</v>
      </c>
      <c r="E9" s="7">
        <v>8091</v>
      </c>
      <c r="I9" s="5"/>
      <c r="J9" s="5"/>
      <c r="K9" s="5"/>
    </row>
    <row r="10" spans="3:11" x14ac:dyDescent="0.25">
      <c r="C10" s="7">
        <v>166</v>
      </c>
      <c r="D10" s="7">
        <v>7695</v>
      </c>
      <c r="E10" s="7">
        <v>4589</v>
      </c>
      <c r="I10" s="5"/>
      <c r="J10" s="5"/>
      <c r="K10" s="5"/>
    </row>
    <row r="11" spans="3:11" x14ac:dyDescent="0.25">
      <c r="C11" s="7">
        <v>180</v>
      </c>
      <c r="D11" s="7">
        <v>7907</v>
      </c>
      <c r="E11" s="7">
        <v>3792</v>
      </c>
      <c r="I11" s="5"/>
      <c r="J11" s="5"/>
      <c r="K11" s="5"/>
    </row>
    <row r="12" spans="3:11" x14ac:dyDescent="0.25">
      <c r="C12" s="7">
        <v>181</v>
      </c>
      <c r="D12" s="7">
        <v>4953</v>
      </c>
      <c r="E12" s="7">
        <v>4115</v>
      </c>
      <c r="I12" s="5"/>
      <c r="J12" s="5"/>
      <c r="K12" s="5"/>
    </row>
    <row r="13" spans="3:11" x14ac:dyDescent="0.25">
      <c r="C13" s="7">
        <v>213</v>
      </c>
      <c r="D13" s="7">
        <v>6068</v>
      </c>
      <c r="E13" s="7">
        <v>4072</v>
      </c>
      <c r="I13" s="5"/>
      <c r="J13" s="5"/>
      <c r="K13" s="5"/>
    </row>
    <row r="14" spans="3:11" x14ac:dyDescent="0.25">
      <c r="C14" s="7">
        <v>172</v>
      </c>
      <c r="D14" s="7">
        <v>6925</v>
      </c>
      <c r="E14" s="7">
        <v>3945</v>
      </c>
      <c r="I14" s="5"/>
      <c r="J14" s="5"/>
      <c r="K14" s="5"/>
    </row>
    <row r="15" spans="3:11" x14ac:dyDescent="0.25">
      <c r="C15" s="7">
        <v>173</v>
      </c>
      <c r="D15" s="7">
        <v>7779</v>
      </c>
      <c r="E15" s="7">
        <v>6271</v>
      </c>
      <c r="I15" s="5"/>
      <c r="J15" s="5"/>
      <c r="K15" s="5"/>
    </row>
    <row r="16" spans="3:11" x14ac:dyDescent="0.25">
      <c r="C16" s="7">
        <v>172</v>
      </c>
      <c r="D16" s="7">
        <v>4812</v>
      </c>
      <c r="E16" s="7">
        <v>7544</v>
      </c>
      <c r="I16" s="5"/>
      <c r="J16" s="5"/>
      <c r="K16" s="5"/>
    </row>
    <row r="17" spans="2:11" x14ac:dyDescent="0.25">
      <c r="C17" s="7">
        <v>191</v>
      </c>
      <c r="D17" s="7">
        <v>5298</v>
      </c>
      <c r="E17" s="7">
        <v>4118</v>
      </c>
      <c r="I17" s="5"/>
      <c r="J17" s="5"/>
      <c r="K17" s="5"/>
    </row>
    <row r="18" spans="2:11" x14ac:dyDescent="0.25">
      <c r="C18" s="7">
        <v>190</v>
      </c>
      <c r="D18" s="7">
        <v>6434</v>
      </c>
      <c r="E18" s="7">
        <v>3710</v>
      </c>
      <c r="I18" s="5"/>
      <c r="J18" s="5"/>
      <c r="K18" s="5"/>
    </row>
    <row r="19" spans="2:11" x14ac:dyDescent="0.25">
      <c r="C19" s="7">
        <v>174</v>
      </c>
      <c r="D19" s="7">
        <v>5952</v>
      </c>
      <c r="E19" s="7">
        <v>3781</v>
      </c>
      <c r="I19" s="5"/>
      <c r="J19" s="5"/>
      <c r="K19" s="5"/>
    </row>
    <row r="20" spans="2:11" x14ac:dyDescent="0.25">
      <c r="C20" s="7">
        <v>169</v>
      </c>
      <c r="D20" s="7">
        <v>8289</v>
      </c>
      <c r="E20" s="7">
        <v>6808</v>
      </c>
      <c r="I20" s="5"/>
      <c r="J20" s="5"/>
      <c r="K20" s="5"/>
    </row>
    <row r="21" spans="2:11" x14ac:dyDescent="0.25">
      <c r="C21" s="7">
        <v>177</v>
      </c>
      <c r="D21" s="7">
        <v>8205</v>
      </c>
      <c r="E21" s="7">
        <v>4132</v>
      </c>
      <c r="I21" s="5"/>
      <c r="J21" s="5"/>
      <c r="K21" s="5"/>
    </row>
    <row r="22" spans="2:11" x14ac:dyDescent="0.25">
      <c r="C22" s="7">
        <v>201</v>
      </c>
      <c r="D22" s="7">
        <v>7630</v>
      </c>
      <c r="E22" s="7">
        <v>7212</v>
      </c>
      <c r="I22" s="5"/>
      <c r="J22" s="5"/>
      <c r="K22" s="5"/>
    </row>
    <row r="23" spans="2:11" x14ac:dyDescent="0.25">
      <c r="C23" s="7">
        <v>178</v>
      </c>
      <c r="D23" s="7">
        <v>13189</v>
      </c>
      <c r="E23" s="7">
        <v>7969</v>
      </c>
      <c r="I23" s="5"/>
      <c r="J23" s="5"/>
      <c r="K23" s="5"/>
    </row>
    <row r="24" spans="2:11" x14ac:dyDescent="0.25">
      <c r="C24" s="7">
        <v>169</v>
      </c>
      <c r="D24" s="7"/>
      <c r="E24" s="7"/>
      <c r="I24" s="5"/>
      <c r="J24" s="5"/>
      <c r="K24" s="5"/>
    </row>
    <row r="25" spans="2:11" x14ac:dyDescent="0.25">
      <c r="B25" s="3" t="s">
        <v>0</v>
      </c>
      <c r="C25" s="2">
        <f>AVERAGE(C4:C24)</f>
        <v>179.85714285714286</v>
      </c>
      <c r="D25" s="2">
        <f t="shared" ref="D25:E25" si="0">AVERAGE(D4:D24)</f>
        <v>7197.8</v>
      </c>
      <c r="E25" s="2">
        <f t="shared" si="0"/>
        <v>5364.1</v>
      </c>
    </row>
    <row r="26" spans="2:11" x14ac:dyDescent="0.25">
      <c r="B26" s="3" t="s">
        <v>1</v>
      </c>
      <c r="C26" s="2">
        <f>STDEV(C4:C24)/SQRT(C27)</f>
        <v>2.4604352250361399</v>
      </c>
      <c r="D26" s="2">
        <f t="shared" ref="D26:E26" si="1">STDEV(D4:D24)/SQRT(D27)</f>
        <v>407.44532471434621</v>
      </c>
      <c r="E26" s="2">
        <f t="shared" si="1"/>
        <v>371.12074854418989</v>
      </c>
    </row>
    <row r="27" spans="2:11" x14ac:dyDescent="0.25">
      <c r="B27" s="3" t="s">
        <v>2</v>
      </c>
      <c r="C27" s="1">
        <f>COUNT(C4:C24)</f>
        <v>21</v>
      </c>
      <c r="D27" s="1">
        <f t="shared" ref="D27:E27" si="2">COUNT(D4:D24)</f>
        <v>20</v>
      </c>
      <c r="E27" s="1">
        <f t="shared" si="2"/>
        <v>20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2025-11-14T15:08:07Z</dcterms:modified>
</cp:coreProperties>
</file>