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puy\Desktop\2025 Dupuy et al (effluxosome)\2nd submission (The EMBOJ)\Dupuy et al. 2025 (files to submit)\Source data\Figure 6\Figure 6D\"/>
    </mc:Choice>
  </mc:AlternateContent>
  <xr:revisionPtr revIDLastSave="0" documentId="13_ncr:1_{AB3FF581-1E84-4B5B-82FD-79D8815C54D3}" xr6:coauthVersionLast="47" xr6:coauthVersionMax="47" xr10:uidLastSave="{00000000-0000-0000-0000-000000000000}"/>
  <bookViews>
    <workbookView xWindow="-120" yWindow="-120" windowWidth="38640" windowHeight="21120" xr2:uid="{9271E808-F557-4A78-B3DE-BEB55BE7ED8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7" i="1" l="1"/>
  <c r="D25" i="1"/>
  <c r="E25" i="1"/>
  <c r="D27" i="1"/>
  <c r="D26" i="1" s="1"/>
  <c r="E26" i="1"/>
  <c r="C25" i="1"/>
  <c r="C27" i="1"/>
  <c r="C26" i="1" s="1"/>
</calcChain>
</file>

<file path=xl/sharedStrings.xml><?xml version="1.0" encoding="utf-8"?>
<sst xmlns="http://schemas.openxmlformats.org/spreadsheetml/2006/main" count="7" uniqueCount="7">
  <si>
    <t>Average</t>
  </si>
  <si>
    <t>SEM</t>
  </si>
  <si>
    <t>n</t>
  </si>
  <si>
    <t>Background</t>
  </si>
  <si>
    <t>WT</t>
  </si>
  <si>
    <t>Δ55-84</t>
  </si>
  <si>
    <t>Fluorescence intensity (A.U.)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</si>
</sst>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6C268-4A4B-4FF6-BC03-7AA8DABB9965}">
  <dimension ref="B2:K27"/>
  <sheetViews>
    <sheetView tabSelected="1" workbookViewId="0">
      <selection activeCell="B8" sqref="B8"/>
    </sheetView>
  </sheetViews>
  <sheetFormatPr baseColWidth="10" defaultRowHeight="15" x14ac:dyDescent="0.25"/>
  <cols>
    <col min="2" max="5" width="15.7109375" customWidth="1"/>
  </cols>
  <sheetData>
    <row r="2" spans="3:11" x14ac:dyDescent="0.25">
      <c r="C2" s="8" t="s">
        <v>6</v>
      </c>
      <c r="D2" s="8"/>
      <c r="E2" s="8"/>
    </row>
    <row r="3" spans="3:11" x14ac:dyDescent="0.25">
      <c r="C3" s="7" t="s">
        <v>3</v>
      </c>
      <c r="D3" s="7" t="s">
        <v>4</v>
      </c>
      <c r="E3" s="7" t="s">
        <v>5</v>
      </c>
      <c r="I3" s="5"/>
      <c r="J3" s="5"/>
      <c r="K3" s="5"/>
    </row>
    <row r="4" spans="3:11" x14ac:dyDescent="0.25">
      <c r="C4" s="6">
        <v>111</v>
      </c>
      <c r="D4" s="6">
        <v>217</v>
      </c>
      <c r="E4" s="6">
        <v>157</v>
      </c>
      <c r="I4" s="4"/>
      <c r="J4" s="4"/>
      <c r="K4" s="4"/>
    </row>
    <row r="5" spans="3:11" x14ac:dyDescent="0.25">
      <c r="C5" s="6">
        <v>112</v>
      </c>
      <c r="D5" s="6">
        <v>209</v>
      </c>
      <c r="E5" s="6">
        <v>177</v>
      </c>
      <c r="I5" s="4"/>
      <c r="J5" s="4"/>
      <c r="K5" s="4"/>
    </row>
    <row r="6" spans="3:11" x14ac:dyDescent="0.25">
      <c r="C6" s="6">
        <v>111</v>
      </c>
      <c r="D6" s="6">
        <v>228</v>
      </c>
      <c r="E6" s="6">
        <v>162</v>
      </c>
      <c r="I6" s="4"/>
      <c r="J6" s="4"/>
      <c r="K6" s="4"/>
    </row>
    <row r="7" spans="3:11" x14ac:dyDescent="0.25">
      <c r="C7" s="6">
        <v>111</v>
      </c>
      <c r="D7" s="6">
        <v>220</v>
      </c>
      <c r="E7" s="6">
        <v>163</v>
      </c>
      <c r="I7" s="4"/>
      <c r="J7" s="4"/>
      <c r="K7" s="4"/>
    </row>
    <row r="8" spans="3:11" x14ac:dyDescent="0.25">
      <c r="C8" s="6">
        <v>112</v>
      </c>
      <c r="D8" s="6">
        <v>232</v>
      </c>
      <c r="E8" s="6">
        <v>150</v>
      </c>
      <c r="I8" s="4"/>
      <c r="J8" s="4"/>
      <c r="K8" s="4"/>
    </row>
    <row r="9" spans="3:11" x14ac:dyDescent="0.25">
      <c r="C9" s="6">
        <v>112</v>
      </c>
      <c r="D9" s="6">
        <v>236</v>
      </c>
      <c r="E9" s="6">
        <v>166</v>
      </c>
      <c r="I9" s="4"/>
      <c r="J9" s="4"/>
      <c r="K9" s="4"/>
    </row>
    <row r="10" spans="3:11" x14ac:dyDescent="0.25">
      <c r="C10" s="6">
        <v>110</v>
      </c>
      <c r="D10" s="6">
        <v>222</v>
      </c>
      <c r="E10" s="6">
        <v>155</v>
      </c>
      <c r="I10" s="4"/>
      <c r="J10" s="4"/>
      <c r="K10" s="4"/>
    </row>
    <row r="11" spans="3:11" x14ac:dyDescent="0.25">
      <c r="C11" s="6">
        <v>112</v>
      </c>
      <c r="D11" s="6">
        <v>206</v>
      </c>
      <c r="E11" s="6">
        <v>164</v>
      </c>
      <c r="I11" s="4"/>
      <c r="J11" s="4"/>
      <c r="K11" s="4"/>
    </row>
    <row r="12" spans="3:11" x14ac:dyDescent="0.25">
      <c r="C12" s="6">
        <v>112</v>
      </c>
      <c r="D12" s="6">
        <v>185</v>
      </c>
      <c r="E12" s="6">
        <v>169</v>
      </c>
      <c r="I12" s="4"/>
      <c r="J12" s="4"/>
      <c r="K12" s="4"/>
    </row>
    <row r="13" spans="3:11" x14ac:dyDescent="0.25">
      <c r="C13" s="6">
        <v>112</v>
      </c>
      <c r="D13" s="6">
        <v>199</v>
      </c>
      <c r="E13" s="6">
        <v>158</v>
      </c>
      <c r="I13" s="4"/>
      <c r="J13" s="4"/>
      <c r="K13" s="4"/>
    </row>
    <row r="14" spans="3:11" x14ac:dyDescent="0.25">
      <c r="C14" s="6">
        <v>110</v>
      </c>
      <c r="D14" s="6">
        <v>206</v>
      </c>
      <c r="E14" s="6">
        <v>154</v>
      </c>
      <c r="I14" s="4"/>
      <c r="J14" s="4"/>
      <c r="K14" s="4"/>
    </row>
    <row r="15" spans="3:11" x14ac:dyDescent="0.25">
      <c r="C15" s="6">
        <v>111</v>
      </c>
      <c r="D15" s="6">
        <v>232</v>
      </c>
      <c r="E15" s="6">
        <v>156</v>
      </c>
      <c r="I15" s="4"/>
      <c r="J15" s="4"/>
      <c r="K15" s="4"/>
    </row>
    <row r="16" spans="3:11" x14ac:dyDescent="0.25">
      <c r="C16" s="6">
        <v>111</v>
      </c>
      <c r="D16" s="6">
        <v>188</v>
      </c>
      <c r="E16" s="6">
        <v>176</v>
      </c>
      <c r="I16" s="4"/>
      <c r="J16" s="4"/>
      <c r="K16" s="4"/>
    </row>
    <row r="17" spans="2:11" x14ac:dyDescent="0.25">
      <c r="C17" s="6">
        <v>112</v>
      </c>
      <c r="D17" s="6">
        <v>201</v>
      </c>
      <c r="E17" s="6">
        <v>158</v>
      </c>
      <c r="I17" s="4"/>
      <c r="J17" s="4"/>
      <c r="K17" s="4"/>
    </row>
    <row r="18" spans="2:11" x14ac:dyDescent="0.25">
      <c r="C18" s="6">
        <v>111</v>
      </c>
      <c r="D18" s="6">
        <v>229</v>
      </c>
      <c r="E18" s="6">
        <v>144</v>
      </c>
      <c r="I18" s="4"/>
      <c r="J18" s="4"/>
      <c r="K18" s="4"/>
    </row>
    <row r="19" spans="2:11" x14ac:dyDescent="0.25">
      <c r="C19" s="6">
        <v>111</v>
      </c>
      <c r="D19" s="6">
        <v>211</v>
      </c>
      <c r="E19" s="6">
        <v>157</v>
      </c>
      <c r="I19" s="4"/>
      <c r="J19" s="4"/>
      <c r="K19" s="4"/>
    </row>
    <row r="20" spans="2:11" x14ac:dyDescent="0.25">
      <c r="C20" s="6">
        <v>111</v>
      </c>
      <c r="D20" s="6">
        <v>209</v>
      </c>
      <c r="E20" s="6">
        <v>177</v>
      </c>
      <c r="I20" s="4"/>
      <c r="J20" s="4"/>
      <c r="K20" s="4"/>
    </row>
    <row r="21" spans="2:11" x14ac:dyDescent="0.25">
      <c r="C21" s="6">
        <v>113</v>
      </c>
      <c r="D21" s="6">
        <v>237</v>
      </c>
      <c r="E21" s="6">
        <v>157</v>
      </c>
      <c r="I21" s="4"/>
      <c r="J21" s="4"/>
      <c r="K21" s="4"/>
    </row>
    <row r="22" spans="2:11" x14ac:dyDescent="0.25">
      <c r="C22" s="6">
        <v>111</v>
      </c>
      <c r="D22" s="6">
        <v>236</v>
      </c>
      <c r="E22" s="6">
        <v>166</v>
      </c>
      <c r="I22" s="4"/>
      <c r="J22" s="4"/>
      <c r="K22" s="4"/>
    </row>
    <row r="23" spans="2:11" x14ac:dyDescent="0.25">
      <c r="C23" s="6">
        <v>112</v>
      </c>
      <c r="D23" s="6">
        <v>217</v>
      </c>
      <c r="E23" s="6">
        <v>190</v>
      </c>
      <c r="I23" s="4"/>
      <c r="J23" s="4"/>
      <c r="K23" s="4"/>
    </row>
    <row r="24" spans="2:11" x14ac:dyDescent="0.25">
      <c r="C24" s="6">
        <v>111</v>
      </c>
      <c r="D24" s="6"/>
      <c r="E24" s="6"/>
      <c r="I24" s="4"/>
      <c r="J24" s="4"/>
      <c r="K24" s="4"/>
    </row>
    <row r="25" spans="2:11" x14ac:dyDescent="0.25">
      <c r="B25" s="3" t="s">
        <v>0</v>
      </c>
      <c r="C25" s="2">
        <f>AVERAGE(C4:C24)</f>
        <v>111.38095238095238</v>
      </c>
      <c r="D25" s="2">
        <f t="shared" ref="D25:E25" si="0">AVERAGE(D4:D24)</f>
        <v>216</v>
      </c>
      <c r="E25" s="2">
        <f t="shared" si="0"/>
        <v>162.80000000000001</v>
      </c>
    </row>
    <row r="26" spans="2:11" x14ac:dyDescent="0.25">
      <c r="B26" s="3" t="s">
        <v>1</v>
      </c>
      <c r="C26" s="2">
        <f>STDEV(C4:C24)/SQRT(C27)</f>
        <v>0.16148404721726831</v>
      </c>
      <c r="D26" s="2">
        <f t="shared" ref="D26:E26" si="1">STDEV(D4:D24)/SQRT(D27)</f>
        <v>3.5176247967238226</v>
      </c>
      <c r="E26" s="2">
        <f t="shared" si="1"/>
        <v>2.4209610966677979</v>
      </c>
    </row>
    <row r="27" spans="2:11" x14ac:dyDescent="0.25">
      <c r="B27" s="3" t="s">
        <v>2</v>
      </c>
      <c r="C27" s="1">
        <f>COUNT(C4:C24)</f>
        <v>21</v>
      </c>
      <c r="D27" s="1">
        <f t="shared" ref="D27" si="2">COUNT(D4:D24)</f>
        <v>20</v>
      </c>
      <c r="E27" s="1">
        <f>COUNT(E4:E24)</f>
        <v>20</v>
      </c>
    </row>
  </sheetData>
  <mergeCells count="1">
    <mergeCell ref="C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Dupuy Pierre</dc:creator>
  <cp:lastModifiedBy>Dupuy Pierre</cp:lastModifiedBy>
  <dcterms:created xsi:type="dcterms:W3CDTF">2025-11-06T16:04:41Z</dcterms:created>
  <dcterms:modified xsi:type="dcterms:W3CDTF">2025-11-14T15:08:00Z</dcterms:modified>
</cp:coreProperties>
</file>