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puy\Desktop\2025 Dupuy et al (effluxosome)\2nd submission (The EMBOJ)\Dupuy et al. 2025 (files to submit)\Source data\Figure 6\Figure 6I\"/>
    </mc:Choice>
  </mc:AlternateContent>
  <xr:revisionPtr revIDLastSave="0" documentId="13_ncr:1_{0CA32BA0-A23E-43C6-B253-E156D0BC4422}" xr6:coauthVersionLast="47" xr6:coauthVersionMax="47" xr10:uidLastSave="{00000000-0000-0000-0000-000000000000}"/>
  <bookViews>
    <workbookView xWindow="-120" yWindow="-120" windowWidth="38640" windowHeight="21120" xr2:uid="{9271E808-F557-4A78-B3DE-BEB55BE7ED8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2" i="1" l="1"/>
  <c r="F21" i="1" s="1"/>
  <c r="F20" i="1"/>
  <c r="D20" i="1"/>
  <c r="E20" i="1"/>
  <c r="D22" i="1"/>
  <c r="D21" i="1" s="1"/>
  <c r="E22" i="1"/>
  <c r="E21" i="1" s="1"/>
  <c r="C20" i="1"/>
  <c r="C22" i="1"/>
  <c r="C21" i="1" s="1"/>
</calcChain>
</file>

<file path=xl/sharedStrings.xml><?xml version="1.0" encoding="utf-8"?>
<sst xmlns="http://schemas.openxmlformats.org/spreadsheetml/2006/main" count="8" uniqueCount="8">
  <si>
    <t>Average</t>
  </si>
  <si>
    <t>SEM</t>
  </si>
  <si>
    <t>n</t>
  </si>
  <si>
    <t>Background</t>
  </si>
  <si>
    <t>WT</t>
  </si>
  <si>
    <t>Δ54-86</t>
  </si>
  <si>
    <t>Δ37-86</t>
  </si>
  <si>
    <t>Fluorescence intensity (A.U.)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</si>
</sst>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6C268-4A4B-4FF6-BC03-7AA8DABB9965}">
  <dimension ref="B2:G22"/>
  <sheetViews>
    <sheetView tabSelected="1" workbookViewId="0">
      <selection sqref="A1:XFD1"/>
    </sheetView>
  </sheetViews>
  <sheetFormatPr baseColWidth="10" defaultRowHeight="15" x14ac:dyDescent="0.25"/>
  <cols>
    <col min="2" max="5" width="15.7109375" customWidth="1"/>
  </cols>
  <sheetData>
    <row r="2" spans="3:7" x14ac:dyDescent="0.25">
      <c r="C2" s="8" t="s">
        <v>7</v>
      </c>
      <c r="D2" s="8"/>
      <c r="E2" s="8"/>
      <c r="F2" s="8"/>
    </row>
    <row r="3" spans="3:7" x14ac:dyDescent="0.25">
      <c r="C3" s="4" t="s">
        <v>3</v>
      </c>
      <c r="D3" s="4" t="s">
        <v>4</v>
      </c>
      <c r="E3" s="4" t="s">
        <v>5</v>
      </c>
      <c r="F3" s="4" t="s">
        <v>6</v>
      </c>
      <c r="G3" s="6"/>
    </row>
    <row r="4" spans="3:7" x14ac:dyDescent="0.25">
      <c r="C4" s="7">
        <v>129</v>
      </c>
      <c r="D4" s="7">
        <v>244</v>
      </c>
      <c r="E4" s="7">
        <v>162</v>
      </c>
      <c r="F4" s="7">
        <v>173</v>
      </c>
      <c r="G4" s="5"/>
    </row>
    <row r="5" spans="3:7" x14ac:dyDescent="0.25">
      <c r="C5" s="7">
        <v>130</v>
      </c>
      <c r="D5" s="7">
        <v>235</v>
      </c>
      <c r="E5" s="7">
        <v>155</v>
      </c>
      <c r="F5" s="7">
        <v>169</v>
      </c>
      <c r="G5" s="5"/>
    </row>
    <row r="6" spans="3:7" x14ac:dyDescent="0.25">
      <c r="C6" s="7">
        <v>132</v>
      </c>
      <c r="D6" s="7">
        <v>269</v>
      </c>
      <c r="E6" s="7">
        <v>164</v>
      </c>
      <c r="F6" s="7">
        <v>171</v>
      </c>
      <c r="G6" s="5"/>
    </row>
    <row r="7" spans="3:7" x14ac:dyDescent="0.25">
      <c r="C7" s="7">
        <v>128</v>
      </c>
      <c r="D7" s="7">
        <v>305</v>
      </c>
      <c r="E7" s="7">
        <v>158</v>
      </c>
      <c r="F7" s="7">
        <v>176</v>
      </c>
      <c r="G7" s="5"/>
    </row>
    <row r="8" spans="3:7" x14ac:dyDescent="0.25">
      <c r="C8" s="7">
        <v>130</v>
      </c>
      <c r="D8" s="7">
        <v>249</v>
      </c>
      <c r="E8" s="7">
        <v>155</v>
      </c>
      <c r="F8" s="7">
        <v>184</v>
      </c>
      <c r="G8" s="5"/>
    </row>
    <row r="9" spans="3:7" x14ac:dyDescent="0.25">
      <c r="C9" s="7">
        <v>131</v>
      </c>
      <c r="D9" s="7">
        <v>283</v>
      </c>
      <c r="E9" s="7">
        <v>162</v>
      </c>
      <c r="F9" s="7">
        <v>173</v>
      </c>
      <c r="G9" s="5"/>
    </row>
    <row r="10" spans="3:7" x14ac:dyDescent="0.25">
      <c r="C10" s="7">
        <v>128</v>
      </c>
      <c r="D10" s="7">
        <v>291</v>
      </c>
      <c r="E10" s="7">
        <v>170</v>
      </c>
      <c r="F10" s="7">
        <v>194</v>
      </c>
      <c r="G10" s="5"/>
    </row>
    <row r="11" spans="3:7" x14ac:dyDescent="0.25">
      <c r="C11" s="7">
        <v>129</v>
      </c>
      <c r="D11" s="7">
        <v>277</v>
      </c>
      <c r="E11" s="7">
        <v>164</v>
      </c>
      <c r="F11" s="7">
        <v>176</v>
      </c>
      <c r="G11" s="5"/>
    </row>
    <row r="12" spans="3:7" x14ac:dyDescent="0.25">
      <c r="C12" s="7">
        <v>128</v>
      </c>
      <c r="D12" s="7">
        <v>340</v>
      </c>
      <c r="E12" s="7">
        <v>181</v>
      </c>
      <c r="F12" s="7">
        <v>174</v>
      </c>
      <c r="G12" s="5"/>
    </row>
    <row r="13" spans="3:7" x14ac:dyDescent="0.25">
      <c r="C13" s="7">
        <v>126</v>
      </c>
      <c r="D13" s="7">
        <v>298</v>
      </c>
      <c r="E13" s="7">
        <v>176</v>
      </c>
      <c r="F13" s="7">
        <v>162</v>
      </c>
      <c r="G13" s="5"/>
    </row>
    <row r="14" spans="3:7" x14ac:dyDescent="0.25">
      <c r="C14" s="7">
        <v>131</v>
      </c>
      <c r="D14" s="7">
        <v>252</v>
      </c>
      <c r="E14" s="7">
        <v>178</v>
      </c>
      <c r="F14" s="7">
        <v>159</v>
      </c>
      <c r="G14" s="5"/>
    </row>
    <row r="15" spans="3:7" x14ac:dyDescent="0.25">
      <c r="C15" s="7">
        <v>131</v>
      </c>
      <c r="D15" s="7">
        <v>415</v>
      </c>
      <c r="E15" s="7">
        <v>157</v>
      </c>
      <c r="F15" s="7">
        <v>168</v>
      </c>
      <c r="G15" s="5"/>
    </row>
    <row r="16" spans="3:7" x14ac:dyDescent="0.25">
      <c r="C16" s="7"/>
      <c r="D16" s="7">
        <v>300</v>
      </c>
      <c r="E16" s="7">
        <v>156</v>
      </c>
      <c r="F16" s="7">
        <v>175</v>
      </c>
      <c r="G16" s="5"/>
    </row>
    <row r="17" spans="2:7" x14ac:dyDescent="0.25">
      <c r="C17" s="7"/>
      <c r="D17" s="7">
        <v>288</v>
      </c>
      <c r="E17" s="7">
        <v>156</v>
      </c>
      <c r="F17" s="7">
        <v>175</v>
      </c>
      <c r="G17" s="5"/>
    </row>
    <row r="18" spans="2:7" x14ac:dyDescent="0.25">
      <c r="C18" s="7"/>
      <c r="D18" s="7">
        <v>306</v>
      </c>
      <c r="E18" s="7">
        <v>161</v>
      </c>
      <c r="F18" s="7">
        <v>179</v>
      </c>
      <c r="G18" s="5"/>
    </row>
    <row r="19" spans="2:7" x14ac:dyDescent="0.25">
      <c r="C19" s="7"/>
      <c r="D19" s="7">
        <v>332</v>
      </c>
      <c r="E19" s="7">
        <v>169</v>
      </c>
      <c r="F19" s="7">
        <v>152</v>
      </c>
      <c r="G19" s="5"/>
    </row>
    <row r="20" spans="2:7" x14ac:dyDescent="0.25">
      <c r="B20" s="3" t="s">
        <v>0</v>
      </c>
      <c r="C20" s="2">
        <f>AVERAGE(C4:C19)</f>
        <v>129.41666666666666</v>
      </c>
      <c r="D20" s="2">
        <f>AVERAGE(D4:D19)</f>
        <v>292.75</v>
      </c>
      <c r="E20" s="2">
        <f>AVERAGE(E4:E19)</f>
        <v>164</v>
      </c>
      <c r="F20" s="2">
        <f>AVERAGE(F4:F19)</f>
        <v>172.5</v>
      </c>
    </row>
    <row r="21" spans="2:7" x14ac:dyDescent="0.25">
      <c r="B21" s="3" t="s">
        <v>1</v>
      </c>
      <c r="C21" s="2">
        <f>STDEV(C4:C19)/SQRT(C22)</f>
        <v>0.49936828780839382</v>
      </c>
      <c r="D21" s="2">
        <f>STDEV(D4:D19)/SQRT(D22)</f>
        <v>11.057237448838656</v>
      </c>
      <c r="E21" s="2">
        <f>STDEV(E4:E19)/SQRT(E22)</f>
        <v>2.1232836205588113</v>
      </c>
      <c r="F21" s="2">
        <f>STDEV(F4:F19)/SQRT(F22)</f>
        <v>2.4358434541926814</v>
      </c>
    </row>
    <row r="22" spans="2:7" x14ac:dyDescent="0.25">
      <c r="B22" s="3" t="s">
        <v>2</v>
      </c>
      <c r="C22" s="1">
        <f>COUNT(C4:C19)</f>
        <v>12</v>
      </c>
      <c r="D22" s="1">
        <f>COUNT(D4:D19)</f>
        <v>16</v>
      </c>
      <c r="E22" s="1">
        <f>COUNT(E4:E19)</f>
        <v>16</v>
      </c>
      <c r="F22" s="1">
        <f>COUNT(F4:F19)</f>
        <v>16</v>
      </c>
    </row>
  </sheetData>
  <mergeCells count="1">
    <mergeCell ref="C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Dupuy Pierre</dc:creator>
  <cp:lastModifiedBy>Dupuy Pierre</cp:lastModifiedBy>
  <dcterms:created xsi:type="dcterms:W3CDTF">2025-11-06T16:04:41Z</dcterms:created>
  <dcterms:modified xsi:type="dcterms:W3CDTF">2025-11-14T15:07:47Z</dcterms:modified>
</cp:coreProperties>
</file>