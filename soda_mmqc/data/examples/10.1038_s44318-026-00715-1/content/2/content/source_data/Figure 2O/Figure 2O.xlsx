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puy\Desktop\2025 Dupuy et al (effluxosome)\2nd submission (The EMBOJ)\Dupuy et al. 2025 (files to submit)\Source data\Figure 2\Figure 2O\"/>
    </mc:Choice>
  </mc:AlternateContent>
  <xr:revisionPtr revIDLastSave="0" documentId="13_ncr:1_{977A675F-6B75-4B2C-BB08-9572867384BC}" xr6:coauthVersionLast="47" xr6:coauthVersionMax="47" xr10:uidLastSave="{00000000-0000-0000-0000-000000000000}"/>
  <bookViews>
    <workbookView xWindow="-120" yWindow="-120" windowWidth="38640" windowHeight="21120" xr2:uid="{F75D69BB-DBED-463C-B996-E271B529310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" i="1" l="1"/>
  <c r="E10" i="1"/>
  <c r="F10" i="1"/>
  <c r="G10" i="1"/>
  <c r="G11" i="1"/>
  <c r="D12" i="1"/>
  <c r="D11" i="1" s="1"/>
  <c r="E12" i="1"/>
  <c r="E11" i="1" s="1"/>
  <c r="F12" i="1"/>
  <c r="F11" i="1" s="1"/>
  <c r="G12" i="1"/>
  <c r="C12" i="1"/>
  <c r="C11" i="1"/>
  <c r="C10" i="1"/>
</calcChain>
</file>

<file path=xl/sharedStrings.xml><?xml version="1.0" encoding="utf-8"?>
<sst xmlns="http://schemas.openxmlformats.org/spreadsheetml/2006/main" count="9" uniqueCount="9">
  <si>
    <t>Control</t>
  </si>
  <si>
    <r>
      <t>PacL2/CtpG</t>
    </r>
    <r>
      <rPr>
        <vertAlign val="superscript"/>
        <sz val="10"/>
        <rFont val="Arial"/>
        <family val="2"/>
      </rPr>
      <t>MBD</t>
    </r>
  </si>
  <si>
    <r>
      <t>PacL2</t>
    </r>
    <r>
      <rPr>
        <vertAlign val="superscript"/>
        <sz val="10"/>
        <rFont val="Arial"/>
        <family val="2"/>
      </rPr>
      <t>E59A</t>
    </r>
    <r>
      <rPr>
        <sz val="10"/>
        <rFont val="Arial"/>
        <family val="2"/>
      </rPr>
      <t>/CtpG</t>
    </r>
    <r>
      <rPr>
        <vertAlign val="superscript"/>
        <sz val="10"/>
        <rFont val="Arial"/>
        <family val="2"/>
      </rPr>
      <t>MBD</t>
    </r>
  </si>
  <si>
    <r>
      <t>PacL2</t>
    </r>
    <r>
      <rPr>
        <vertAlign val="superscript"/>
        <sz val="10"/>
        <rFont val="Arial"/>
        <family val="2"/>
      </rPr>
      <t>E71A</t>
    </r>
    <r>
      <rPr>
        <sz val="10"/>
        <rFont val="Arial"/>
        <family val="2"/>
      </rPr>
      <t>/CtpG</t>
    </r>
    <r>
      <rPr>
        <vertAlign val="superscript"/>
        <sz val="10"/>
        <rFont val="Arial"/>
        <family val="2"/>
      </rPr>
      <t>MBD</t>
    </r>
  </si>
  <si>
    <r>
      <t>PacL2</t>
    </r>
    <r>
      <rPr>
        <vertAlign val="superscript"/>
        <sz val="10"/>
        <rFont val="Arial"/>
        <family val="2"/>
      </rPr>
      <t>E59A+E71A</t>
    </r>
    <r>
      <rPr>
        <sz val="10"/>
        <rFont val="Arial"/>
        <family val="2"/>
      </rPr>
      <t>/CtpG</t>
    </r>
    <r>
      <rPr>
        <vertAlign val="superscript"/>
        <sz val="10"/>
        <rFont val="Arial"/>
        <family val="2"/>
      </rPr>
      <t>MBD</t>
    </r>
  </si>
  <si>
    <t>Average</t>
  </si>
  <si>
    <t>SEM</t>
  </si>
  <si>
    <t>n</t>
  </si>
  <si>
    <t>GFP+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</si>
</sst>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vertAlign val="superscript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B7FA2-2C36-48E6-8BB4-A4BDE3860523}">
  <dimension ref="B2:G12"/>
  <sheetViews>
    <sheetView tabSelected="1" workbookViewId="0">
      <selection activeCell="I4" sqref="I4"/>
    </sheetView>
  </sheetViews>
  <sheetFormatPr baseColWidth="10" defaultRowHeight="15" x14ac:dyDescent="0.25"/>
  <cols>
    <col min="3" max="7" width="15.7109375" customWidth="1"/>
  </cols>
  <sheetData>
    <row r="2" spans="2:7" x14ac:dyDescent="0.25">
      <c r="C2" s="6" t="s">
        <v>8</v>
      </c>
      <c r="D2" s="6"/>
      <c r="E2" s="6"/>
      <c r="F2" s="6"/>
      <c r="G2" s="6"/>
    </row>
    <row r="3" spans="2:7" x14ac:dyDescent="0.25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</row>
    <row r="4" spans="2:7" x14ac:dyDescent="0.25">
      <c r="C4" s="5">
        <v>0.44</v>
      </c>
      <c r="D4" s="5">
        <v>95.3</v>
      </c>
      <c r="E4" s="5">
        <v>0.43</v>
      </c>
      <c r="F4" s="5">
        <v>10.7</v>
      </c>
      <c r="G4" s="5">
        <v>0.04</v>
      </c>
    </row>
    <row r="5" spans="2:7" x14ac:dyDescent="0.25">
      <c r="C5" s="5">
        <v>0.4</v>
      </c>
      <c r="D5" s="5">
        <v>95.4</v>
      </c>
      <c r="E5" s="5">
        <v>0.39</v>
      </c>
      <c r="F5" s="5">
        <v>11</v>
      </c>
      <c r="G5" s="5">
        <v>0.01</v>
      </c>
    </row>
    <row r="6" spans="2:7" x14ac:dyDescent="0.25">
      <c r="C6" s="5">
        <v>0.32</v>
      </c>
      <c r="D6" s="5">
        <v>95.1</v>
      </c>
      <c r="E6" s="5">
        <v>0.44</v>
      </c>
      <c r="F6" s="5">
        <v>9.58</v>
      </c>
      <c r="G6" s="5">
        <v>0.01</v>
      </c>
    </row>
    <row r="7" spans="2:7" x14ac:dyDescent="0.25">
      <c r="C7" s="5">
        <v>0.31</v>
      </c>
      <c r="D7" s="5">
        <v>96.3</v>
      </c>
      <c r="E7" s="5">
        <v>0.19</v>
      </c>
      <c r="F7" s="5">
        <v>5.73</v>
      </c>
      <c r="G7" s="5">
        <v>0.01</v>
      </c>
    </row>
    <row r="8" spans="2:7" x14ac:dyDescent="0.25">
      <c r="C8" s="5">
        <v>0.16</v>
      </c>
      <c r="D8" s="5">
        <v>97.1</v>
      </c>
      <c r="E8" s="5">
        <v>0.15</v>
      </c>
      <c r="F8" s="5">
        <v>6.66</v>
      </c>
      <c r="G8" s="5">
        <v>0.01</v>
      </c>
    </row>
    <row r="9" spans="2:7" x14ac:dyDescent="0.25">
      <c r="C9" s="5">
        <v>0.31</v>
      </c>
      <c r="D9" s="5">
        <v>95.7</v>
      </c>
      <c r="E9" s="5">
        <v>0.18</v>
      </c>
      <c r="F9" s="5">
        <v>5.4</v>
      </c>
      <c r="G9" s="5">
        <v>1.2E-2</v>
      </c>
    </row>
    <row r="10" spans="2:7" x14ac:dyDescent="0.25">
      <c r="B10" s="3" t="s">
        <v>5</v>
      </c>
      <c r="C10" s="2">
        <f>AVERAGE(C4:C9)</f>
        <v>0.32333333333333336</v>
      </c>
      <c r="D10" s="2">
        <f t="shared" ref="D10:G10" si="0">AVERAGE(D4:D9)</f>
        <v>95.816666666666663</v>
      </c>
      <c r="E10" s="2">
        <f t="shared" si="0"/>
        <v>0.29666666666666663</v>
      </c>
      <c r="F10" s="2">
        <f t="shared" si="0"/>
        <v>8.1783333333333328</v>
      </c>
      <c r="G10" s="2">
        <f t="shared" si="0"/>
        <v>1.5333333333333332E-2</v>
      </c>
    </row>
    <row r="11" spans="2:7" x14ac:dyDescent="0.25">
      <c r="B11" s="3" t="s">
        <v>6</v>
      </c>
      <c r="C11" s="2">
        <f>STDEV(C4:C9)/SQRT(C12)</f>
        <v>3.938414796731176E-2</v>
      </c>
      <c r="D11" s="2">
        <f t="shared" ref="D11:G11" si="1">STDEV(D4:D9)/SQRT(D12)</f>
        <v>0.30813056395697602</v>
      </c>
      <c r="E11" s="2">
        <f t="shared" si="1"/>
        <v>5.5837064551942366E-2</v>
      </c>
      <c r="F11" s="2">
        <f t="shared" si="1"/>
        <v>1.0376910801282708</v>
      </c>
      <c r="G11" s="2">
        <f t="shared" si="1"/>
        <v>4.9441323247304426E-3</v>
      </c>
    </row>
    <row r="12" spans="2:7" x14ac:dyDescent="0.25">
      <c r="B12" s="3" t="s">
        <v>7</v>
      </c>
      <c r="C12" s="1">
        <f>COUNT(C4:C9)</f>
        <v>6</v>
      </c>
      <c r="D12" s="1">
        <f t="shared" ref="D12:G12" si="2">COUNT(D4:D9)</f>
        <v>6</v>
      </c>
      <c r="E12" s="1">
        <f t="shared" si="2"/>
        <v>6</v>
      </c>
      <c r="F12" s="1">
        <f t="shared" si="2"/>
        <v>6</v>
      </c>
      <c r="G12" s="1">
        <f t="shared" si="2"/>
        <v>6</v>
      </c>
    </row>
  </sheetData>
  <mergeCells count="1">
    <mergeCell ref="C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Dupuy Pierre</dc:creator>
  <cp:lastModifiedBy>Dupuy Pierre</cp:lastModifiedBy>
  <dcterms:created xsi:type="dcterms:W3CDTF">2025-11-06T14:07:09Z</dcterms:created>
  <dcterms:modified xsi:type="dcterms:W3CDTF">2025-11-14T14:45:40Z</dcterms:modified>
</cp:coreProperties>
</file>