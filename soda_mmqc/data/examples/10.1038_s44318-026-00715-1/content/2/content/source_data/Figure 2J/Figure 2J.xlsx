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2\Figure 2J\"/>
    </mc:Choice>
  </mc:AlternateContent>
  <xr:revisionPtr revIDLastSave="0" documentId="13_ncr:1_{E6B13619-9338-4A60-8D54-30021D6C54FD}" xr6:coauthVersionLast="47" xr6:coauthVersionMax="47" xr10:uidLastSave="{00000000-0000-0000-0000-000000000000}"/>
  <bookViews>
    <workbookView xWindow="-120" yWindow="-120" windowWidth="38640" windowHeight="21120" xr2:uid="{F1A462EA-BBFB-4686-B57F-444402CF71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D12" i="1"/>
  <c r="D11" i="1" s="1"/>
  <c r="E12" i="1"/>
  <c r="E11" i="1" s="1"/>
  <c r="F12" i="1"/>
  <c r="F11" i="1" s="1"/>
  <c r="G12" i="1"/>
  <c r="G11" i="1" s="1"/>
  <c r="C12" i="1"/>
  <c r="C11" i="1" s="1"/>
  <c r="C10" i="1"/>
</calcChain>
</file>

<file path=xl/sharedStrings.xml><?xml version="1.0" encoding="utf-8"?>
<sst xmlns="http://schemas.openxmlformats.org/spreadsheetml/2006/main" count="9" uniqueCount="9">
  <si>
    <t>empty vector</t>
  </si>
  <si>
    <r>
      <t>+</t>
    </r>
    <r>
      <rPr>
        <i/>
        <sz val="10"/>
        <rFont val="Arial"/>
        <family val="2"/>
      </rPr>
      <t>ctpG</t>
    </r>
    <r>
      <rPr>
        <sz val="10"/>
        <rFont val="Arial"/>
        <family val="2"/>
      </rPr>
      <t> operon</t>
    </r>
  </si>
  <si>
    <r>
      <t>+</t>
    </r>
    <r>
      <rPr>
        <i/>
        <sz val="10"/>
        <rFont val="Arial"/>
        <family val="2"/>
      </rPr>
      <t>ctpG</t>
    </r>
    <r>
      <rPr>
        <sz val="10"/>
        <rFont val="Arial"/>
        <family val="2"/>
      </rPr>
      <t> operon</t>
    </r>
    <r>
      <rPr>
        <vertAlign val="superscript"/>
        <sz val="10"/>
        <rFont val="Arial"/>
        <family val="2"/>
      </rPr>
      <t>E59A</t>
    </r>
  </si>
  <si>
    <t>E71A</t>
  </si>
  <si>
    <t>Average</t>
  </si>
  <si>
    <t>SEM</t>
  </si>
  <si>
    <t>n</t>
  </si>
  <si>
    <t>Inhibition zone (%)</t>
  </si>
  <si>
    <t>3EA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</si>
</sst>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52A2-C8F6-458A-B333-6CE443D0377C}">
  <dimension ref="B2:G12"/>
  <sheetViews>
    <sheetView tabSelected="1" workbookViewId="0">
      <selection activeCell="G20" sqref="G20"/>
    </sheetView>
  </sheetViews>
  <sheetFormatPr baseColWidth="10" defaultRowHeight="15" x14ac:dyDescent="0.25"/>
  <cols>
    <col min="3" max="7" width="15.7109375" customWidth="1"/>
  </cols>
  <sheetData>
    <row r="2" spans="2:7" x14ac:dyDescent="0.25">
      <c r="C2" s="6" t="s">
        <v>7</v>
      </c>
      <c r="D2" s="6"/>
      <c r="E2" s="6"/>
      <c r="F2" s="6"/>
      <c r="G2" s="6"/>
    </row>
    <row r="3" spans="2:7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8</v>
      </c>
    </row>
    <row r="4" spans="2:7" x14ac:dyDescent="0.25">
      <c r="C4" s="5">
        <v>100</v>
      </c>
      <c r="D4" s="5">
        <v>51.3</v>
      </c>
      <c r="E4" s="5">
        <v>82.1</v>
      </c>
      <c r="F4" s="5">
        <v>76.900000000000006</v>
      </c>
      <c r="G4" s="5">
        <v>82.1</v>
      </c>
    </row>
    <row r="5" spans="2:7" x14ac:dyDescent="0.25">
      <c r="C5" s="5">
        <v>100</v>
      </c>
      <c r="D5" s="5">
        <v>47.5</v>
      </c>
      <c r="E5" s="5">
        <v>70</v>
      </c>
      <c r="F5" s="5">
        <v>75</v>
      </c>
      <c r="G5" s="5">
        <v>80</v>
      </c>
    </row>
    <row r="6" spans="2:7" x14ac:dyDescent="0.25">
      <c r="C6" s="5">
        <v>100</v>
      </c>
      <c r="D6" s="5">
        <v>48.7</v>
      </c>
      <c r="E6" s="5">
        <v>76.900000000000006</v>
      </c>
      <c r="F6" s="5">
        <v>76.900000000000006</v>
      </c>
      <c r="G6" s="5">
        <v>79.5</v>
      </c>
    </row>
    <row r="7" spans="2:7" x14ac:dyDescent="0.25">
      <c r="C7" s="5">
        <v>100</v>
      </c>
      <c r="D7" s="5">
        <v>52.4</v>
      </c>
      <c r="E7" s="5">
        <v>83.3</v>
      </c>
      <c r="F7" s="5">
        <v>83.3</v>
      </c>
      <c r="G7" s="5">
        <v>88.1</v>
      </c>
    </row>
    <row r="8" spans="2:7" x14ac:dyDescent="0.25">
      <c r="C8" s="5">
        <v>100</v>
      </c>
      <c r="D8" s="5">
        <v>38.1</v>
      </c>
      <c r="E8" s="5">
        <v>83.3</v>
      </c>
      <c r="F8" s="5">
        <v>83.3</v>
      </c>
      <c r="G8" s="5">
        <v>88.1</v>
      </c>
    </row>
    <row r="9" spans="2:7" x14ac:dyDescent="0.25">
      <c r="C9" s="5">
        <v>100</v>
      </c>
      <c r="D9" s="5">
        <v>46.3</v>
      </c>
      <c r="E9" s="5">
        <v>80.5</v>
      </c>
      <c r="F9" s="5">
        <v>82.9</v>
      </c>
      <c r="G9" s="5">
        <v>87.8</v>
      </c>
    </row>
    <row r="10" spans="2:7" x14ac:dyDescent="0.25">
      <c r="B10" s="3" t="s">
        <v>4</v>
      </c>
      <c r="C10" s="2">
        <f>AVERAGE(C4:C9)</f>
        <v>100</v>
      </c>
      <c r="D10" s="2">
        <f t="shared" ref="D10:G10" si="0">AVERAGE(D4:D9)</f>
        <v>47.383333333333333</v>
      </c>
      <c r="E10" s="2">
        <f t="shared" si="0"/>
        <v>79.350000000000009</v>
      </c>
      <c r="F10" s="2">
        <f t="shared" si="0"/>
        <v>79.716666666666683</v>
      </c>
      <c r="G10" s="2">
        <f t="shared" si="0"/>
        <v>84.266666666666666</v>
      </c>
    </row>
    <row r="11" spans="2:7" x14ac:dyDescent="0.25">
      <c r="B11" s="3" t="s">
        <v>5</v>
      </c>
      <c r="C11" s="2">
        <f>STDEV(C4:C9)/SQRT(C12)</f>
        <v>0</v>
      </c>
      <c r="D11" s="2">
        <f t="shared" ref="D11:G11" si="1">STDEV(D4:D9)/SQRT(D12)</f>
        <v>2.0785277909563242</v>
      </c>
      <c r="E11" s="2">
        <f t="shared" si="1"/>
        <v>2.1096208190098991</v>
      </c>
      <c r="F11" s="2">
        <f t="shared" si="1"/>
        <v>1.5698018275495083</v>
      </c>
      <c r="G11" s="2">
        <f t="shared" si="1"/>
        <v>1.7077600664157839</v>
      </c>
    </row>
    <row r="12" spans="2:7" x14ac:dyDescent="0.25">
      <c r="B12" s="3" t="s">
        <v>6</v>
      </c>
      <c r="C12" s="1">
        <f>COUNT(C4:C9)</f>
        <v>6</v>
      </c>
      <c r="D12" s="1">
        <f t="shared" ref="D12:G12" si="2">COUNT(D4:D9)</f>
        <v>6</v>
      </c>
      <c r="E12" s="1">
        <f t="shared" si="2"/>
        <v>6</v>
      </c>
      <c r="F12" s="1">
        <f t="shared" si="2"/>
        <v>6</v>
      </c>
      <c r="G12" s="1">
        <f t="shared" si="2"/>
        <v>6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2025-11-06T13:44:28Z</dcterms:created>
  <dcterms:modified xsi:type="dcterms:W3CDTF">2025-11-14T14:43:14Z</dcterms:modified>
</cp:coreProperties>
</file>