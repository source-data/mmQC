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2\Figure 2A\"/>
    </mc:Choice>
  </mc:AlternateContent>
  <xr:revisionPtr revIDLastSave="0" documentId="13_ncr:1_{DB34D309-43F2-4BDB-8F96-CEA2115561BE}" xr6:coauthVersionLast="47" xr6:coauthVersionMax="47" xr10:uidLastSave="{00000000-0000-0000-0000-000000000000}"/>
  <bookViews>
    <workbookView xWindow="-105" yWindow="0" windowWidth="19410" windowHeight="20985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" l="1"/>
  <c r="E13" i="1"/>
  <c r="F13" i="1"/>
  <c r="D15" i="1"/>
  <c r="D14" i="1" s="1"/>
  <c r="E15" i="1"/>
  <c r="E14" i="1" s="1"/>
  <c r="F15" i="1"/>
  <c r="F14" i="1" s="1"/>
  <c r="C15" i="1"/>
  <c r="C14" i="1" s="1"/>
  <c r="C13" i="1"/>
</calcChain>
</file>

<file path=xl/sharedStrings.xml><?xml version="1.0" encoding="utf-8"?>
<sst xmlns="http://schemas.openxmlformats.org/spreadsheetml/2006/main" count="8" uniqueCount="8">
  <si>
    <t>Average</t>
  </si>
  <si>
    <t>SEM</t>
  </si>
  <si>
    <t>n</t>
  </si>
  <si>
    <t>empty vector</t>
  </si>
  <si>
    <t>+ctpG operon</t>
  </si>
  <si>
    <t>+cmtR-ctpG</t>
  </si>
  <si>
    <t>+cmtR-pacL2</t>
  </si>
  <si>
    <t>Inhibition zone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</si>
</sst>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F15"/>
  <sheetViews>
    <sheetView tabSelected="1" workbookViewId="0">
      <selection activeCell="E18" sqref="E18"/>
    </sheetView>
  </sheetViews>
  <sheetFormatPr baseColWidth="10" defaultRowHeight="15" x14ac:dyDescent="0.25"/>
  <cols>
    <col min="3" max="6" width="20.7109375" customWidth="1"/>
  </cols>
  <sheetData>
    <row r="2" spans="2:6" x14ac:dyDescent="0.25">
      <c r="C2" s="7" t="s">
        <v>7</v>
      </c>
      <c r="D2" s="7"/>
      <c r="E2" s="7"/>
      <c r="F2" s="7"/>
    </row>
    <row r="3" spans="2:6" x14ac:dyDescent="0.25">
      <c r="B3" s="1"/>
      <c r="C3" s="2" t="s">
        <v>3</v>
      </c>
      <c r="D3" s="2" t="s">
        <v>4</v>
      </c>
      <c r="E3" s="2" t="s">
        <v>5</v>
      </c>
      <c r="F3" s="2" t="s">
        <v>6</v>
      </c>
    </row>
    <row r="4" spans="2:6" x14ac:dyDescent="0.25">
      <c r="B4" s="1"/>
      <c r="C4" s="5">
        <v>100</v>
      </c>
      <c r="D4" s="5">
        <v>75</v>
      </c>
      <c r="E4" s="5">
        <v>96</v>
      </c>
      <c r="F4" s="5">
        <v>100</v>
      </c>
    </row>
    <row r="5" spans="2:6" x14ac:dyDescent="0.25">
      <c r="B5" s="1"/>
      <c r="C5" s="5">
        <v>100</v>
      </c>
      <c r="D5" s="5">
        <v>70</v>
      </c>
      <c r="E5" s="5">
        <v>92</v>
      </c>
      <c r="F5" s="5">
        <v>98</v>
      </c>
    </row>
    <row r="6" spans="2:6" x14ac:dyDescent="0.25">
      <c r="B6" s="1"/>
      <c r="C6" s="5">
        <v>100</v>
      </c>
      <c r="D6" s="5">
        <v>75</v>
      </c>
      <c r="E6" s="5">
        <v>96</v>
      </c>
      <c r="F6" s="5">
        <v>102</v>
      </c>
    </row>
    <row r="7" spans="2:6" x14ac:dyDescent="0.25">
      <c r="B7" s="1"/>
      <c r="C7" s="5">
        <v>100</v>
      </c>
      <c r="D7" s="5">
        <v>71</v>
      </c>
      <c r="E7" s="5">
        <v>92</v>
      </c>
      <c r="F7" s="5">
        <v>102</v>
      </c>
    </row>
    <row r="8" spans="2:6" x14ac:dyDescent="0.25">
      <c r="B8" s="1"/>
      <c r="C8" s="5">
        <v>100</v>
      </c>
      <c r="D8" s="5">
        <v>67</v>
      </c>
      <c r="E8" s="5">
        <v>90</v>
      </c>
      <c r="F8" s="5">
        <v>97</v>
      </c>
    </row>
    <row r="9" spans="2:6" x14ac:dyDescent="0.25">
      <c r="B9" s="1"/>
      <c r="C9" s="5">
        <v>100</v>
      </c>
      <c r="D9" s="5">
        <v>68</v>
      </c>
      <c r="E9" s="5">
        <v>94</v>
      </c>
      <c r="F9" s="5">
        <v>97</v>
      </c>
    </row>
    <row r="10" spans="2:6" x14ac:dyDescent="0.25">
      <c r="C10" s="6">
        <v>100</v>
      </c>
      <c r="D10" s="6">
        <v>70</v>
      </c>
      <c r="E10" s="6">
        <v>93</v>
      </c>
      <c r="F10" s="6"/>
    </row>
    <row r="11" spans="2:6" x14ac:dyDescent="0.25">
      <c r="C11" s="6">
        <v>100</v>
      </c>
      <c r="D11" s="6">
        <v>72</v>
      </c>
      <c r="E11" s="6">
        <v>93</v>
      </c>
      <c r="F11" s="6"/>
    </row>
    <row r="12" spans="2:6" x14ac:dyDescent="0.25">
      <c r="C12" s="6">
        <v>100</v>
      </c>
      <c r="D12" s="6">
        <v>70</v>
      </c>
      <c r="E12" s="6">
        <v>94</v>
      </c>
      <c r="F12" s="6"/>
    </row>
    <row r="13" spans="2:6" x14ac:dyDescent="0.25">
      <c r="B13" s="3" t="s">
        <v>0</v>
      </c>
      <c r="C13" s="4">
        <f>AVERAGE(C4:C12)</f>
        <v>100</v>
      </c>
      <c r="D13" s="4">
        <f t="shared" ref="D13:F13" si="0">AVERAGE(D4:D12)</f>
        <v>70.888888888888886</v>
      </c>
      <c r="E13" s="4">
        <f t="shared" si="0"/>
        <v>93.333333333333329</v>
      </c>
      <c r="F13" s="4">
        <f t="shared" si="0"/>
        <v>99.333333333333329</v>
      </c>
    </row>
    <row r="14" spans="2:6" x14ac:dyDescent="0.25">
      <c r="B14" s="3" t="s">
        <v>1</v>
      </c>
      <c r="C14" s="4">
        <f>STDEV(C4:C12)/SQRT(C15)</f>
        <v>0</v>
      </c>
      <c r="D14" s="4">
        <f t="shared" ref="D14:F14" si="1">STDEV(D4:D12)/SQRT(D15)</f>
        <v>0.9196080754026027</v>
      </c>
      <c r="E14" s="4">
        <f t="shared" si="1"/>
        <v>0.6454972243679028</v>
      </c>
      <c r="F14" s="4">
        <f t="shared" si="1"/>
        <v>0.95452140421842369</v>
      </c>
    </row>
    <row r="15" spans="2:6" x14ac:dyDescent="0.25">
      <c r="B15" s="3" t="s">
        <v>2</v>
      </c>
      <c r="C15" s="3">
        <f>COUNT(C4:C12)</f>
        <v>9</v>
      </c>
      <c r="D15" s="3">
        <f t="shared" ref="D15:F15" si="2">COUNT(D4:D12)</f>
        <v>9</v>
      </c>
      <c r="E15" s="3">
        <f t="shared" si="2"/>
        <v>9</v>
      </c>
      <c r="F15" s="3">
        <f t="shared" si="2"/>
        <v>6</v>
      </c>
    </row>
  </sheetData>
  <mergeCells count="1"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2025-11-14T14:37:49Z</dcterms:modified>
</cp:coreProperties>
</file>