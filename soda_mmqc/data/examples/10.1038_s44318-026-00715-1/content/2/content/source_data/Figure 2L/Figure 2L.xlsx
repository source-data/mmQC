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L\"/>
    </mc:Choice>
  </mc:AlternateContent>
  <xr:revisionPtr revIDLastSave="0" documentId="13_ncr:1_{999829B6-E390-4B58-AEDE-EE303CD2964C}" xr6:coauthVersionLast="47" xr6:coauthVersionMax="47" xr10:uidLastSave="{00000000-0000-0000-0000-000000000000}"/>
  <bookViews>
    <workbookView xWindow="-120" yWindow="-120" windowWidth="38640" windowHeight="21120" xr2:uid="{1AD6FE8F-CDD2-47E1-8C1F-19D4077577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F24" i="1"/>
  <c r="D26" i="1"/>
  <c r="D25" i="1" s="1"/>
  <c r="E26" i="1"/>
  <c r="E25" i="1" s="1"/>
  <c r="F26" i="1"/>
  <c r="F25" i="1" s="1"/>
  <c r="C24" i="1"/>
  <c r="C26" i="1"/>
  <c r="C25" i="1" s="1"/>
</calcChain>
</file>

<file path=xl/sharedStrings.xml><?xml version="1.0" encoding="utf-8"?>
<sst xmlns="http://schemas.openxmlformats.org/spreadsheetml/2006/main" count="8" uniqueCount="8">
  <si>
    <t>Background</t>
  </si>
  <si>
    <t>PacL2 (WT)</t>
  </si>
  <si>
    <t>PacL2 (E59A)</t>
  </si>
  <si>
    <t>PacL2 (E71A)</t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</si>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</sst>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56DD-E906-400D-8B24-5830FC2BE4D6}">
  <dimension ref="B2:F26"/>
  <sheetViews>
    <sheetView tabSelected="1" workbookViewId="0">
      <selection activeCell="K12" sqref="K12"/>
    </sheetView>
  </sheetViews>
  <sheetFormatPr baseColWidth="10" defaultRowHeight="15" x14ac:dyDescent="0.25"/>
  <cols>
    <col min="3" max="6" width="15.7109375" customWidth="1"/>
  </cols>
  <sheetData>
    <row r="2" spans="3:6" x14ac:dyDescent="0.25">
      <c r="C2" s="6" t="s">
        <v>7</v>
      </c>
      <c r="D2" s="6"/>
      <c r="E2" s="6"/>
      <c r="F2" s="6"/>
    </row>
    <row r="3" spans="3:6" x14ac:dyDescent="0.25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25">
      <c r="C4" s="5">
        <v>191</v>
      </c>
      <c r="D4" s="5">
        <v>6540</v>
      </c>
      <c r="E4" s="5">
        <v>3611</v>
      </c>
      <c r="F4" s="5">
        <v>5894</v>
      </c>
    </row>
    <row r="5" spans="3:6" x14ac:dyDescent="0.25">
      <c r="C5" s="5">
        <v>183</v>
      </c>
      <c r="D5" s="5">
        <v>9531</v>
      </c>
      <c r="E5" s="5">
        <v>4790</v>
      </c>
      <c r="F5" s="5">
        <v>4694</v>
      </c>
    </row>
    <row r="6" spans="3:6" x14ac:dyDescent="0.25">
      <c r="C6" s="5">
        <v>198</v>
      </c>
      <c r="D6" s="5">
        <v>4644</v>
      </c>
      <c r="E6" s="5">
        <v>4228</v>
      </c>
      <c r="F6" s="5">
        <v>7426</v>
      </c>
    </row>
    <row r="7" spans="3:6" x14ac:dyDescent="0.25">
      <c r="C7" s="5">
        <v>181</v>
      </c>
      <c r="D7" s="5">
        <v>4124</v>
      </c>
      <c r="E7" s="5">
        <v>6589</v>
      </c>
      <c r="F7" s="5">
        <v>4385</v>
      </c>
    </row>
    <row r="8" spans="3:6" x14ac:dyDescent="0.25">
      <c r="C8" s="5">
        <v>186</v>
      </c>
      <c r="D8" s="5">
        <v>4476</v>
      </c>
      <c r="E8" s="5">
        <v>4534</v>
      </c>
      <c r="F8" s="5">
        <v>4555</v>
      </c>
    </row>
    <row r="9" spans="3:6" x14ac:dyDescent="0.25">
      <c r="C9" s="5">
        <v>205</v>
      </c>
      <c r="D9" s="5">
        <v>5071</v>
      </c>
      <c r="E9" s="5">
        <v>3600</v>
      </c>
      <c r="F9" s="5">
        <v>4353</v>
      </c>
    </row>
    <row r="10" spans="3:6" x14ac:dyDescent="0.25">
      <c r="C10" s="5">
        <v>187</v>
      </c>
      <c r="D10" s="5">
        <v>5481</v>
      </c>
      <c r="E10" s="5">
        <v>3425</v>
      </c>
      <c r="F10" s="5">
        <v>5238</v>
      </c>
    </row>
    <row r="11" spans="3:6" x14ac:dyDescent="0.25">
      <c r="C11" s="5">
        <v>188</v>
      </c>
      <c r="D11" s="5">
        <v>4541</v>
      </c>
      <c r="E11" s="5">
        <v>6367</v>
      </c>
      <c r="F11" s="5">
        <v>4818</v>
      </c>
    </row>
    <row r="12" spans="3:6" x14ac:dyDescent="0.25">
      <c r="C12" s="5">
        <v>196</v>
      </c>
      <c r="D12" s="5">
        <v>4556</v>
      </c>
      <c r="E12" s="5">
        <v>4238</v>
      </c>
      <c r="F12" s="5">
        <v>4922</v>
      </c>
    </row>
    <row r="13" spans="3:6" x14ac:dyDescent="0.25">
      <c r="C13" s="5">
        <v>180</v>
      </c>
      <c r="D13" s="5">
        <v>6840</v>
      </c>
      <c r="E13" s="5">
        <v>5295</v>
      </c>
      <c r="F13" s="5">
        <v>5479</v>
      </c>
    </row>
    <row r="14" spans="3:6" x14ac:dyDescent="0.25">
      <c r="C14" s="5">
        <v>188</v>
      </c>
      <c r="D14" s="5">
        <v>3835</v>
      </c>
      <c r="E14" s="5">
        <v>7099</v>
      </c>
      <c r="F14" s="5">
        <v>4410</v>
      </c>
    </row>
    <row r="15" spans="3:6" x14ac:dyDescent="0.25">
      <c r="C15" s="5">
        <v>196</v>
      </c>
      <c r="D15" s="5">
        <v>5576</v>
      </c>
      <c r="E15" s="5">
        <v>4623</v>
      </c>
      <c r="F15" s="5">
        <v>5419</v>
      </c>
    </row>
    <row r="16" spans="3:6" x14ac:dyDescent="0.25">
      <c r="C16" s="5"/>
      <c r="D16" s="5">
        <v>5388</v>
      </c>
      <c r="E16" s="5">
        <v>5315</v>
      </c>
      <c r="F16" s="5">
        <v>6213</v>
      </c>
    </row>
    <row r="17" spans="2:6" x14ac:dyDescent="0.25">
      <c r="C17" s="5"/>
      <c r="D17" s="5">
        <v>5489</v>
      </c>
      <c r="E17" s="5">
        <v>5612</v>
      </c>
      <c r="F17" s="5">
        <v>5372</v>
      </c>
    </row>
    <row r="18" spans="2:6" x14ac:dyDescent="0.25">
      <c r="C18" s="5"/>
      <c r="D18" s="5">
        <v>5989</v>
      </c>
      <c r="E18" s="5">
        <v>4614</v>
      </c>
      <c r="F18" s="5">
        <v>6886</v>
      </c>
    </row>
    <row r="19" spans="2:6" x14ac:dyDescent="0.25">
      <c r="C19" s="5"/>
      <c r="D19" s="5">
        <v>4982</v>
      </c>
      <c r="E19" s="5">
        <v>5452</v>
      </c>
      <c r="F19" s="5">
        <v>4478</v>
      </c>
    </row>
    <row r="20" spans="2:6" x14ac:dyDescent="0.25">
      <c r="C20" s="5"/>
      <c r="D20" s="5">
        <v>4713</v>
      </c>
      <c r="E20" s="5">
        <v>5348</v>
      </c>
      <c r="F20" s="5">
        <v>4980</v>
      </c>
    </row>
    <row r="21" spans="2:6" x14ac:dyDescent="0.25">
      <c r="C21" s="5"/>
      <c r="D21" s="5">
        <v>5903</v>
      </c>
      <c r="E21" s="5">
        <v>4784</v>
      </c>
      <c r="F21" s="5">
        <v>5324</v>
      </c>
    </row>
    <row r="22" spans="2:6" x14ac:dyDescent="0.25">
      <c r="C22" s="5"/>
      <c r="D22" s="5">
        <v>5637</v>
      </c>
      <c r="E22" s="5">
        <v>4412</v>
      </c>
      <c r="F22" s="5">
        <v>5042</v>
      </c>
    </row>
    <row r="23" spans="2:6" x14ac:dyDescent="0.25">
      <c r="C23" s="5"/>
      <c r="D23" s="5">
        <v>7350</v>
      </c>
      <c r="E23" s="5">
        <v>6913</v>
      </c>
      <c r="F23" s="5">
        <v>6916</v>
      </c>
    </row>
    <row r="24" spans="2:6" x14ac:dyDescent="0.25">
      <c r="B24" s="3" t="s">
        <v>4</v>
      </c>
      <c r="C24" s="2">
        <f>AVERAGE(C4:C23)</f>
        <v>189.91666666666666</v>
      </c>
      <c r="D24" s="2">
        <f t="shared" ref="D24:F24" si="0">AVERAGE(D4:D23)</f>
        <v>5533.3</v>
      </c>
      <c r="E24" s="2">
        <f t="shared" si="0"/>
        <v>5042.45</v>
      </c>
      <c r="F24" s="2">
        <f t="shared" si="0"/>
        <v>5340.2</v>
      </c>
    </row>
    <row r="25" spans="2:6" x14ac:dyDescent="0.25">
      <c r="B25" s="3" t="s">
        <v>5</v>
      </c>
      <c r="C25" s="2">
        <f>STDEV(C4:C23)/SQRT(C26)</f>
        <v>2.1758256298971141</v>
      </c>
      <c r="D25" s="2">
        <f t="shared" ref="D25:F25" si="1">STDEV(D4:D23)/SQRT(D26)</f>
        <v>291.5252458147811</v>
      </c>
      <c r="E25" s="2">
        <f t="shared" si="1"/>
        <v>239.51978794201835</v>
      </c>
      <c r="F25" s="2">
        <f t="shared" si="1"/>
        <v>202.12599770284015</v>
      </c>
    </row>
    <row r="26" spans="2:6" x14ac:dyDescent="0.25">
      <c r="B26" s="3" t="s">
        <v>6</v>
      </c>
      <c r="C26" s="1">
        <f>COUNT(C4:C23)</f>
        <v>12</v>
      </c>
      <c r="D26" s="1">
        <f t="shared" ref="D26:F26" si="2">COUNT(D4:D23)</f>
        <v>20</v>
      </c>
      <c r="E26" s="1">
        <f t="shared" si="2"/>
        <v>20</v>
      </c>
      <c r="F26" s="1">
        <f t="shared" si="2"/>
        <v>20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2025-11-06T14:01:42Z</dcterms:created>
  <dcterms:modified xsi:type="dcterms:W3CDTF">2025-11-14T14:44:09Z</dcterms:modified>
</cp:coreProperties>
</file>