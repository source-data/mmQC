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puy\Desktop\2025 Dupuy et al (effluxosome)\2nd submission (The EMBOJ)\Dupuy et al. 2025 (files to submit)\Source data\Figure 2\Figure 2H\"/>
    </mc:Choice>
  </mc:AlternateContent>
  <xr:revisionPtr revIDLastSave="0" documentId="13_ncr:1_{575F42A7-B1FD-4AB1-8C99-F8C18FE1A9CE}" xr6:coauthVersionLast="47" xr6:coauthVersionMax="47" xr10:uidLastSave="{00000000-0000-0000-0000-000000000000}"/>
  <bookViews>
    <workbookView xWindow="-120" yWindow="-120" windowWidth="38640" windowHeight="21120" xr2:uid="{29B5BDDE-42F0-452E-8353-C608CE2B035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4" i="1" l="1"/>
  <c r="D24" i="1"/>
  <c r="C24" i="1"/>
  <c r="E26" i="1"/>
  <c r="D26" i="1"/>
  <c r="D25" i="1" s="1"/>
  <c r="C26" i="1"/>
  <c r="C25" i="1" s="1"/>
  <c r="E25" i="1"/>
</calcChain>
</file>

<file path=xl/sharedStrings.xml><?xml version="1.0" encoding="utf-8"?>
<sst xmlns="http://schemas.openxmlformats.org/spreadsheetml/2006/main" count="7" uniqueCount="7">
  <si>
    <t>Background</t>
  </si>
  <si>
    <t>CtpG (+PacL2)</t>
  </si>
  <si>
    <t>CtpG (-PacL2)</t>
  </si>
  <si>
    <t>Average</t>
  </si>
  <si>
    <t>SEM</t>
  </si>
  <si>
    <t>n</t>
  </si>
  <si>
    <t>Fluorescence intensity (A.U.)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</si>
</sst>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4BB7-8624-4A2E-8B25-6F9DA9AA4F4E}">
  <dimension ref="B2:E26"/>
  <sheetViews>
    <sheetView tabSelected="1" workbookViewId="0">
      <selection activeCell="I13" sqref="I13"/>
    </sheetView>
  </sheetViews>
  <sheetFormatPr baseColWidth="10" defaultRowHeight="15" x14ac:dyDescent="0.25"/>
  <cols>
    <col min="3" max="5" width="15.7109375" customWidth="1"/>
  </cols>
  <sheetData>
    <row r="2" spans="3:5" x14ac:dyDescent="0.25">
      <c r="C2" s="6" t="s">
        <v>6</v>
      </c>
      <c r="D2" s="6"/>
      <c r="E2" s="6"/>
    </row>
    <row r="3" spans="3:5" x14ac:dyDescent="0.25">
      <c r="C3" s="5" t="s">
        <v>0</v>
      </c>
      <c r="D3" s="5" t="s">
        <v>1</v>
      </c>
      <c r="E3" s="5" t="s">
        <v>2</v>
      </c>
    </row>
    <row r="4" spans="3:5" x14ac:dyDescent="0.25">
      <c r="C4" s="4">
        <v>110.754</v>
      </c>
      <c r="D4" s="4">
        <v>591.476</v>
      </c>
      <c r="E4" s="4">
        <v>149.99600000000001</v>
      </c>
    </row>
    <row r="5" spans="3:5" x14ac:dyDescent="0.25">
      <c r="C5" s="4">
        <v>110.815</v>
      </c>
      <c r="D5" s="4">
        <v>594.06799999999998</v>
      </c>
      <c r="E5" s="4">
        <v>146.10400000000001</v>
      </c>
    </row>
    <row r="6" spans="3:5" x14ac:dyDescent="0.25">
      <c r="C6" s="4">
        <v>111.258</v>
      </c>
      <c r="D6" s="4">
        <v>646.548</v>
      </c>
      <c r="E6" s="4">
        <v>143.755</v>
      </c>
    </row>
    <row r="7" spans="3:5" x14ac:dyDescent="0.25">
      <c r="C7" s="4">
        <v>111.488</v>
      </c>
      <c r="D7" s="4">
        <v>605.46100000000001</v>
      </c>
      <c r="E7" s="4">
        <v>148.52799999999999</v>
      </c>
    </row>
    <row r="8" spans="3:5" x14ac:dyDescent="0.25">
      <c r="C8" s="4">
        <v>110.28700000000001</v>
      </c>
      <c r="D8" s="4">
        <v>675.93299999999999</v>
      </c>
      <c r="E8" s="4">
        <v>150.40600000000001</v>
      </c>
    </row>
    <row r="9" spans="3:5" x14ac:dyDescent="0.25">
      <c r="C9" s="4">
        <v>111.271</v>
      </c>
      <c r="D9" s="4">
        <v>630.72699999999998</v>
      </c>
      <c r="E9" s="4">
        <v>161.28</v>
      </c>
    </row>
    <row r="10" spans="3:5" x14ac:dyDescent="0.25">
      <c r="C10" s="4">
        <v>110.738</v>
      </c>
      <c r="D10" s="4">
        <v>619.65</v>
      </c>
      <c r="E10" s="4">
        <v>158.947</v>
      </c>
    </row>
    <row r="11" spans="3:5" x14ac:dyDescent="0.25">
      <c r="C11" s="4">
        <v>111.127</v>
      </c>
      <c r="D11" s="4">
        <v>616.27200000000005</v>
      </c>
      <c r="E11" s="4">
        <v>154.43899999999999</v>
      </c>
    </row>
    <row r="12" spans="3:5" x14ac:dyDescent="0.25">
      <c r="C12" s="4">
        <v>111.012</v>
      </c>
      <c r="D12" s="4">
        <v>584.09299999999996</v>
      </c>
      <c r="E12" s="4">
        <v>158.738</v>
      </c>
    </row>
    <row r="13" spans="3:5" x14ac:dyDescent="0.25">
      <c r="C13" s="4">
        <v>110.52</v>
      </c>
      <c r="D13" s="4">
        <v>672.12900000000002</v>
      </c>
      <c r="E13" s="4">
        <v>157.22800000000001</v>
      </c>
    </row>
    <row r="14" spans="3:5" x14ac:dyDescent="0.25">
      <c r="C14" s="4">
        <v>110.468</v>
      </c>
      <c r="D14" s="4">
        <v>649.28899999999999</v>
      </c>
      <c r="E14" s="4">
        <v>143.233</v>
      </c>
    </row>
    <row r="15" spans="3:5" x14ac:dyDescent="0.25">
      <c r="C15" s="4">
        <v>110.33199999999999</v>
      </c>
      <c r="D15" s="4">
        <v>536.96299999999997</v>
      </c>
      <c r="E15" s="4">
        <v>148.904</v>
      </c>
    </row>
    <row r="16" spans="3:5" x14ac:dyDescent="0.25">
      <c r="C16" s="4">
        <v>110.639</v>
      </c>
      <c r="D16" s="4">
        <v>624.27</v>
      </c>
      <c r="E16" s="4">
        <v>158.40199999999999</v>
      </c>
    </row>
    <row r="17" spans="2:5" x14ac:dyDescent="0.25">
      <c r="C17" s="4">
        <v>110.52500000000001</v>
      </c>
      <c r="D17" s="4">
        <v>602.09400000000005</v>
      </c>
      <c r="E17" s="4">
        <v>154.28100000000001</v>
      </c>
    </row>
    <row r="18" spans="2:5" x14ac:dyDescent="0.25">
      <c r="C18" s="4">
        <v>109.8</v>
      </c>
      <c r="D18" s="4">
        <v>668.15200000000004</v>
      </c>
      <c r="E18" s="4">
        <v>154.84200000000001</v>
      </c>
    </row>
    <row r="19" spans="2:5" x14ac:dyDescent="0.25">
      <c r="C19" s="4">
        <v>109.88500000000001</v>
      </c>
      <c r="D19" s="4">
        <v>623.92399999999998</v>
      </c>
      <c r="E19" s="4">
        <v>160.65299999999999</v>
      </c>
    </row>
    <row r="20" spans="2:5" x14ac:dyDescent="0.25">
      <c r="C20" s="4">
        <v>109.983</v>
      </c>
      <c r="D20" s="4">
        <v>667.24699999999996</v>
      </c>
      <c r="E20" s="4">
        <v>153.655</v>
      </c>
    </row>
    <row r="21" spans="2:5" x14ac:dyDescent="0.25">
      <c r="C21" s="4">
        <v>109.83499999999999</v>
      </c>
      <c r="D21" s="4">
        <v>635.85299999999995</v>
      </c>
      <c r="E21" s="4">
        <v>150.77600000000001</v>
      </c>
    </row>
    <row r="22" spans="2:5" x14ac:dyDescent="0.25">
      <c r="C22" s="4">
        <v>110.13200000000001</v>
      </c>
      <c r="D22" s="4">
        <v>661.86599999999999</v>
      </c>
      <c r="E22" s="4">
        <v>150.49199999999999</v>
      </c>
    </row>
    <row r="23" spans="2:5" x14ac:dyDescent="0.25">
      <c r="C23" s="4"/>
      <c r="D23" s="4">
        <v>590.29499999999996</v>
      </c>
      <c r="E23" s="4">
        <v>163.72399999999999</v>
      </c>
    </row>
    <row r="24" spans="2:5" x14ac:dyDescent="0.25">
      <c r="B24" s="3" t="s">
        <v>3</v>
      </c>
      <c r="C24" s="2">
        <f>AVERAGE(C4:C23)</f>
        <v>110.57205263157893</v>
      </c>
      <c r="D24" s="2">
        <f>AVERAGE(D4:D23)</f>
        <v>624.81549999999993</v>
      </c>
      <c r="E24" s="2">
        <f>AVERAGE(E4:E23)</f>
        <v>153.41915000000003</v>
      </c>
    </row>
    <row r="25" spans="2:5" x14ac:dyDescent="0.25">
      <c r="B25" s="3" t="s">
        <v>4</v>
      </c>
      <c r="C25" s="2">
        <f>STDEV(C4:C23)/SQRT(C26)</f>
        <v>0.11760640258071749</v>
      </c>
      <c r="D25" s="2">
        <f t="shared" ref="D25:E25" si="0">STDEV(D4:D23)/SQRT(D26)</f>
        <v>8.0699939863344206</v>
      </c>
      <c r="E25" s="2">
        <f t="shared" si="0"/>
        <v>1.3115721628219592</v>
      </c>
    </row>
    <row r="26" spans="2:5" x14ac:dyDescent="0.25">
      <c r="B26" s="3" t="s">
        <v>5</v>
      </c>
      <c r="C26" s="1">
        <f>COUNT(C4:C23)</f>
        <v>19</v>
      </c>
      <c r="D26" s="1">
        <f t="shared" ref="D26:E26" si="1">COUNT(D4:D23)</f>
        <v>20</v>
      </c>
      <c r="E26" s="1">
        <f t="shared" si="1"/>
        <v>20</v>
      </c>
    </row>
  </sheetData>
  <mergeCells count="1">
    <mergeCell ref="C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Dupuy Pierre</dc:creator>
  <cp:lastModifiedBy>Dupuy Pierre</cp:lastModifiedBy>
  <dcterms:created xsi:type="dcterms:W3CDTF">2025-11-06T13:40:24Z</dcterms:created>
  <dcterms:modified xsi:type="dcterms:W3CDTF">2025-11-14T14:42:01Z</dcterms:modified>
</cp:coreProperties>
</file>