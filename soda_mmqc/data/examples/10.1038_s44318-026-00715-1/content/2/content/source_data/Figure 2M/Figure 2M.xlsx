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M\"/>
    </mc:Choice>
  </mc:AlternateContent>
  <xr:revisionPtr revIDLastSave="0" documentId="13_ncr:1_{086695F9-0C8D-4C23-B88B-33DB0B75B3C8}" xr6:coauthVersionLast="47" xr6:coauthVersionMax="47" xr10:uidLastSave="{00000000-0000-0000-0000-000000000000}"/>
  <bookViews>
    <workbookView xWindow="-120" yWindow="-120" windowWidth="38640" windowHeight="21120" xr2:uid="{59E4077B-BF62-4031-92DC-24DDB06B66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E24" i="1"/>
  <c r="F24" i="1"/>
  <c r="D26" i="1"/>
  <c r="D25" i="1" s="1"/>
  <c r="E26" i="1"/>
  <c r="E25" i="1" s="1"/>
  <c r="F26" i="1"/>
  <c r="F25" i="1" s="1"/>
  <c r="C24" i="1"/>
  <c r="C26" i="1"/>
  <c r="C25" i="1"/>
</calcChain>
</file>

<file path=xl/sharedStrings.xml><?xml version="1.0" encoding="utf-8"?>
<sst xmlns="http://schemas.openxmlformats.org/spreadsheetml/2006/main" count="8" uniqueCount="8">
  <si>
    <t>Background</t>
  </si>
  <si>
    <t>CtpG (WT PacL2)</t>
  </si>
  <si>
    <t>CtpG (E59A PacL2)</t>
  </si>
  <si>
    <t>CtpG (E71A PacL2)</t>
  </si>
  <si>
    <t>Average</t>
  </si>
  <si>
    <t>SEM</t>
  </si>
  <si>
    <t>n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</si>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</sst>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6035-1B28-4F8C-9FBE-3B1F8B5ECA9A}">
  <dimension ref="B2:F26"/>
  <sheetViews>
    <sheetView tabSelected="1" workbookViewId="0">
      <selection activeCell="J13" sqref="J13"/>
    </sheetView>
  </sheetViews>
  <sheetFormatPr baseColWidth="10" defaultRowHeight="15" x14ac:dyDescent="0.25"/>
  <cols>
    <col min="3" max="6" width="15.7109375" customWidth="1"/>
  </cols>
  <sheetData>
    <row r="2" spans="3:6" x14ac:dyDescent="0.25">
      <c r="C2" s="6" t="s">
        <v>7</v>
      </c>
      <c r="D2" s="6"/>
      <c r="E2" s="6"/>
      <c r="F2" s="6"/>
    </row>
    <row r="3" spans="3:6" x14ac:dyDescent="0.25">
      <c r="C3" s="4" t="s">
        <v>0</v>
      </c>
      <c r="D3" s="4" t="s">
        <v>1</v>
      </c>
      <c r="E3" s="4" t="s">
        <v>2</v>
      </c>
      <c r="F3" s="4" t="s">
        <v>3</v>
      </c>
    </row>
    <row r="4" spans="3:6" x14ac:dyDescent="0.25">
      <c r="C4" s="5">
        <v>113</v>
      </c>
      <c r="D4" s="5">
        <v>188</v>
      </c>
      <c r="E4" s="5">
        <v>147</v>
      </c>
      <c r="F4" s="5">
        <v>159</v>
      </c>
    </row>
    <row r="5" spans="3:6" x14ac:dyDescent="0.25">
      <c r="C5" s="5">
        <v>111</v>
      </c>
      <c r="D5" s="5">
        <v>197</v>
      </c>
      <c r="E5" s="5">
        <v>152</v>
      </c>
      <c r="F5" s="5">
        <v>158</v>
      </c>
    </row>
    <row r="6" spans="3:6" x14ac:dyDescent="0.25">
      <c r="C6" s="5">
        <v>112</v>
      </c>
      <c r="D6" s="5">
        <v>179</v>
      </c>
      <c r="E6" s="5">
        <v>148</v>
      </c>
      <c r="F6" s="5">
        <v>163</v>
      </c>
    </row>
    <row r="7" spans="3:6" x14ac:dyDescent="0.25">
      <c r="C7" s="5">
        <v>112</v>
      </c>
      <c r="D7" s="5">
        <v>170</v>
      </c>
      <c r="E7" s="5">
        <v>159</v>
      </c>
      <c r="F7" s="5">
        <v>149</v>
      </c>
    </row>
    <row r="8" spans="3:6" x14ac:dyDescent="0.25">
      <c r="C8" s="5">
        <v>112</v>
      </c>
      <c r="D8" s="5">
        <v>180</v>
      </c>
      <c r="E8" s="5">
        <v>156</v>
      </c>
      <c r="F8" s="5">
        <v>151</v>
      </c>
    </row>
    <row r="9" spans="3:6" x14ac:dyDescent="0.25">
      <c r="C9" s="5">
        <v>112</v>
      </c>
      <c r="D9" s="5">
        <v>178</v>
      </c>
      <c r="E9" s="5">
        <v>147</v>
      </c>
      <c r="F9" s="5">
        <v>155</v>
      </c>
    </row>
    <row r="10" spans="3:6" x14ac:dyDescent="0.25">
      <c r="C10" s="5">
        <v>112</v>
      </c>
      <c r="D10" s="5">
        <v>184</v>
      </c>
      <c r="E10" s="5">
        <v>142</v>
      </c>
      <c r="F10" s="5">
        <v>155</v>
      </c>
    </row>
    <row r="11" spans="3:6" x14ac:dyDescent="0.25">
      <c r="C11" s="5">
        <v>113</v>
      </c>
      <c r="D11" s="5">
        <v>170</v>
      </c>
      <c r="E11" s="5">
        <v>153</v>
      </c>
      <c r="F11" s="5">
        <v>150</v>
      </c>
    </row>
    <row r="12" spans="3:6" x14ac:dyDescent="0.25">
      <c r="C12" s="5">
        <v>112</v>
      </c>
      <c r="D12" s="5">
        <v>178</v>
      </c>
      <c r="E12" s="5">
        <v>149</v>
      </c>
      <c r="F12" s="5">
        <v>159</v>
      </c>
    </row>
    <row r="13" spans="3:6" x14ac:dyDescent="0.25">
      <c r="C13" s="5">
        <v>112</v>
      </c>
      <c r="D13" s="5">
        <v>207</v>
      </c>
      <c r="E13" s="5">
        <v>152</v>
      </c>
      <c r="F13" s="5">
        <v>163</v>
      </c>
    </row>
    <row r="14" spans="3:6" x14ac:dyDescent="0.25">
      <c r="C14" s="5">
        <v>112</v>
      </c>
      <c r="D14" s="5">
        <v>162</v>
      </c>
      <c r="E14" s="5">
        <v>152</v>
      </c>
      <c r="F14" s="5">
        <v>163</v>
      </c>
    </row>
    <row r="15" spans="3:6" x14ac:dyDescent="0.25">
      <c r="C15" s="5">
        <v>112</v>
      </c>
      <c r="D15" s="5">
        <v>171</v>
      </c>
      <c r="E15" s="5">
        <v>144</v>
      </c>
      <c r="F15" s="5">
        <v>169</v>
      </c>
    </row>
    <row r="16" spans="3:6" x14ac:dyDescent="0.25">
      <c r="C16" s="5"/>
      <c r="D16" s="5">
        <v>183</v>
      </c>
      <c r="E16" s="5">
        <v>152</v>
      </c>
      <c r="F16" s="5">
        <v>169</v>
      </c>
    </row>
    <row r="17" spans="2:6" x14ac:dyDescent="0.25">
      <c r="C17" s="5"/>
      <c r="D17" s="5">
        <v>181</v>
      </c>
      <c r="E17" s="5">
        <v>152</v>
      </c>
      <c r="F17" s="5">
        <v>158</v>
      </c>
    </row>
    <row r="18" spans="2:6" x14ac:dyDescent="0.25">
      <c r="C18" s="5"/>
      <c r="D18" s="5">
        <v>207</v>
      </c>
      <c r="E18" s="5">
        <v>148</v>
      </c>
      <c r="F18" s="5">
        <v>172</v>
      </c>
    </row>
    <row r="19" spans="2:6" x14ac:dyDescent="0.25">
      <c r="C19" s="5"/>
      <c r="D19" s="5">
        <v>198</v>
      </c>
      <c r="E19" s="5">
        <v>144</v>
      </c>
      <c r="F19" s="5">
        <v>156</v>
      </c>
    </row>
    <row r="20" spans="2:6" x14ac:dyDescent="0.25">
      <c r="C20" s="5"/>
      <c r="D20" s="5">
        <v>199</v>
      </c>
      <c r="E20" s="5">
        <v>149</v>
      </c>
      <c r="F20" s="5">
        <v>163</v>
      </c>
    </row>
    <row r="21" spans="2:6" x14ac:dyDescent="0.25">
      <c r="C21" s="5"/>
      <c r="D21" s="5">
        <v>177</v>
      </c>
      <c r="E21" s="5">
        <v>147</v>
      </c>
      <c r="F21" s="5">
        <v>155</v>
      </c>
    </row>
    <row r="22" spans="2:6" x14ac:dyDescent="0.25">
      <c r="C22" s="5"/>
      <c r="D22" s="5">
        <v>188</v>
      </c>
      <c r="E22" s="5">
        <v>158</v>
      </c>
      <c r="F22" s="5">
        <v>166</v>
      </c>
    </row>
    <row r="23" spans="2:6" x14ac:dyDescent="0.25">
      <c r="C23" s="5"/>
      <c r="D23" s="5">
        <v>200</v>
      </c>
      <c r="E23" s="5">
        <v>165</v>
      </c>
      <c r="F23" s="5">
        <v>170</v>
      </c>
    </row>
    <row r="24" spans="2:6" x14ac:dyDescent="0.25">
      <c r="B24" s="3" t="s">
        <v>4</v>
      </c>
      <c r="C24" s="2">
        <f>AVERAGE(C4:C23)</f>
        <v>112.08333333333333</v>
      </c>
      <c r="D24" s="2">
        <f t="shared" ref="D24:F24" si="0">AVERAGE(D4:D23)</f>
        <v>184.85</v>
      </c>
      <c r="E24" s="2">
        <f t="shared" si="0"/>
        <v>150.80000000000001</v>
      </c>
      <c r="F24" s="2">
        <f t="shared" si="0"/>
        <v>160.15</v>
      </c>
    </row>
    <row r="25" spans="2:6" x14ac:dyDescent="0.25">
      <c r="B25" s="3" t="s">
        <v>5</v>
      </c>
      <c r="C25" s="2">
        <f>STDEV(C4:C23)/SQRT(C26)</f>
        <v>0.14864709750264082</v>
      </c>
      <c r="D25" s="2">
        <f t="shared" ref="D25:F25" si="1">STDEV(D4:D23)/SQRT(D26)</f>
        <v>2.873907114933111</v>
      </c>
      <c r="E25" s="2">
        <f t="shared" si="1"/>
        <v>1.2515253850696293</v>
      </c>
      <c r="F25" s="2">
        <f t="shared" si="1"/>
        <v>1.522247299917219</v>
      </c>
    </row>
    <row r="26" spans="2:6" x14ac:dyDescent="0.25">
      <c r="B26" s="1" t="s">
        <v>6</v>
      </c>
      <c r="C26" s="1">
        <f>COUNT(C4:C23)</f>
        <v>12</v>
      </c>
      <c r="D26" s="1">
        <f t="shared" ref="D26:F26" si="2">COUNT(D4:D23)</f>
        <v>20</v>
      </c>
      <c r="E26" s="1">
        <f t="shared" si="2"/>
        <v>20</v>
      </c>
      <c r="F26" s="1">
        <f t="shared" si="2"/>
        <v>20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2025-11-06T14:03:22Z</dcterms:created>
  <dcterms:modified xsi:type="dcterms:W3CDTF">2025-11-14T14:44:51Z</dcterms:modified>
</cp:coreProperties>
</file>