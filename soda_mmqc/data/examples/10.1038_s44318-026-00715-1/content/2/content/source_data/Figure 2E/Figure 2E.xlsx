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2\Figure 2E\"/>
    </mc:Choice>
  </mc:AlternateContent>
  <xr:revisionPtr revIDLastSave="0" documentId="13_ncr:1_{CF8BFEFC-5E62-4C51-968F-891296DE99C1}" xr6:coauthVersionLast="47" xr6:coauthVersionMax="47" xr10:uidLastSave="{00000000-0000-0000-0000-000000000000}"/>
  <bookViews>
    <workbookView xWindow="-120" yWindow="-120" windowWidth="38640" windowHeight="21120" xr2:uid="{55C96AFF-2C0A-48B6-BAEC-FE949BE793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1" l="1"/>
  <c r="E24" i="1"/>
  <c r="D26" i="1"/>
  <c r="D25" i="1" s="1"/>
  <c r="E26" i="1"/>
  <c r="E25" i="1" s="1"/>
  <c r="C26" i="1"/>
  <c r="C25" i="1"/>
  <c r="C24" i="1"/>
</calcChain>
</file>

<file path=xl/sharedStrings.xml><?xml version="1.0" encoding="utf-8"?>
<sst xmlns="http://schemas.openxmlformats.org/spreadsheetml/2006/main" count="7" uniqueCount="7">
  <si>
    <t>Background</t>
  </si>
  <si>
    <r>
      <t>PacL2 -CdSo</t>
    </r>
    <r>
      <rPr>
        <vertAlign val="subscript"/>
        <sz val="10"/>
        <rFont val="Arial"/>
        <family val="2"/>
      </rPr>
      <t>4</t>
    </r>
  </si>
  <si>
    <r>
      <t>PacL2 +CdSo</t>
    </r>
    <r>
      <rPr>
        <vertAlign val="subscript"/>
        <sz val="10"/>
        <rFont val="Arial"/>
        <family val="2"/>
      </rPr>
      <t>4</t>
    </r>
  </si>
  <si>
    <t>Average</t>
  </si>
  <si>
    <t>SEM</t>
  </si>
  <si>
    <t>n</t>
  </si>
  <si>
    <t>Fluorescence intensity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</si>
</sst>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vertAlign val="subscript"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B67B-B646-4EBA-89BB-E274D5ECBF77}">
  <dimension ref="B2:E26"/>
  <sheetViews>
    <sheetView tabSelected="1" workbookViewId="0">
      <selection activeCell="F22" sqref="F22"/>
    </sheetView>
  </sheetViews>
  <sheetFormatPr baseColWidth="10" defaultRowHeight="15" x14ac:dyDescent="0.25"/>
  <cols>
    <col min="3" max="5" width="20.7109375" style="1" customWidth="1"/>
  </cols>
  <sheetData>
    <row r="2" spans="3:5" x14ac:dyDescent="0.25">
      <c r="C2" s="6" t="s">
        <v>6</v>
      </c>
      <c r="D2" s="6"/>
      <c r="E2" s="6"/>
    </row>
    <row r="3" spans="3:5" ht="15.75" x14ac:dyDescent="0.25">
      <c r="C3" s="4" t="s">
        <v>0</v>
      </c>
      <c r="D3" s="4" t="s">
        <v>1</v>
      </c>
      <c r="E3" s="4" t="s">
        <v>2</v>
      </c>
    </row>
    <row r="4" spans="3:5" x14ac:dyDescent="0.25">
      <c r="C4" s="5">
        <v>188.06200000000001</v>
      </c>
      <c r="D4" s="5">
        <v>728.42200000000003</v>
      </c>
      <c r="E4" s="5">
        <v>5582.692</v>
      </c>
    </row>
    <row r="5" spans="3:5" x14ac:dyDescent="0.25">
      <c r="C5" s="5">
        <v>185.68100000000001</v>
      </c>
      <c r="D5" s="5">
        <v>679.98</v>
      </c>
      <c r="E5" s="5">
        <v>6764.8159999999998</v>
      </c>
    </row>
    <row r="6" spans="3:5" x14ac:dyDescent="0.25">
      <c r="C6" s="5">
        <v>182.93899999999999</v>
      </c>
      <c r="D6" s="5">
        <v>776.06799999999998</v>
      </c>
      <c r="E6" s="5">
        <v>7475.0259999999998</v>
      </c>
    </row>
    <row r="7" spans="3:5" x14ac:dyDescent="0.25">
      <c r="C7" s="5">
        <v>178.631</v>
      </c>
      <c r="D7" s="5">
        <v>506.52800000000002</v>
      </c>
      <c r="E7" s="5">
        <v>4797.6719999999996</v>
      </c>
    </row>
    <row r="8" spans="3:5" x14ac:dyDescent="0.25">
      <c r="C8" s="5">
        <v>184.66800000000001</v>
      </c>
      <c r="D8" s="5">
        <v>581.19899999999996</v>
      </c>
      <c r="E8" s="5">
        <v>5066.9390000000003</v>
      </c>
    </row>
    <row r="9" spans="3:5" x14ac:dyDescent="0.25">
      <c r="C9" s="5">
        <v>171.12100000000001</v>
      </c>
      <c r="D9" s="5">
        <v>709.31600000000003</v>
      </c>
      <c r="E9" s="5">
        <v>6059.9229999999998</v>
      </c>
    </row>
    <row r="10" spans="3:5" x14ac:dyDescent="0.25">
      <c r="C10" s="5">
        <v>169.49600000000001</v>
      </c>
      <c r="D10" s="5">
        <v>597.88499999999999</v>
      </c>
      <c r="E10" s="5">
        <v>5722.7849999999999</v>
      </c>
    </row>
    <row r="11" spans="3:5" x14ac:dyDescent="0.25">
      <c r="C11" s="5">
        <v>169</v>
      </c>
      <c r="D11" s="5">
        <v>695.07</v>
      </c>
      <c r="E11" s="5">
        <v>5013.7049999999999</v>
      </c>
    </row>
    <row r="12" spans="3:5" x14ac:dyDescent="0.25">
      <c r="C12" s="5">
        <v>169.779</v>
      </c>
      <c r="D12" s="5">
        <v>519.57299999999998</v>
      </c>
      <c r="E12" s="5">
        <v>5335.11</v>
      </c>
    </row>
    <row r="13" spans="3:5" x14ac:dyDescent="0.25">
      <c r="C13" s="5">
        <v>170.542</v>
      </c>
      <c r="D13" s="5">
        <v>517.44600000000003</v>
      </c>
      <c r="E13" s="5">
        <v>6816.902</v>
      </c>
    </row>
    <row r="14" spans="3:5" x14ac:dyDescent="0.25">
      <c r="C14" s="5"/>
      <c r="D14" s="5">
        <v>584.33900000000006</v>
      </c>
      <c r="E14" s="5">
        <v>8474.7860000000001</v>
      </c>
    </row>
    <row r="15" spans="3:5" x14ac:dyDescent="0.25">
      <c r="C15" s="5"/>
      <c r="D15" s="5">
        <v>692.47900000000004</v>
      </c>
      <c r="E15" s="5">
        <v>9256.7860000000001</v>
      </c>
    </row>
    <row r="16" spans="3:5" x14ac:dyDescent="0.25">
      <c r="C16" s="5"/>
      <c r="D16" s="5">
        <v>621.26900000000001</v>
      </c>
      <c r="E16" s="5">
        <v>6036.9610000000002</v>
      </c>
    </row>
    <row r="17" spans="2:5" x14ac:dyDescent="0.25">
      <c r="C17" s="5"/>
      <c r="D17" s="5">
        <v>634.59699999999998</v>
      </c>
      <c r="E17" s="5">
        <v>6096.4139999999998</v>
      </c>
    </row>
    <row r="18" spans="2:5" x14ac:dyDescent="0.25">
      <c r="C18" s="5"/>
      <c r="D18" s="5">
        <v>931.58799999999997</v>
      </c>
      <c r="E18" s="5">
        <v>6123.92</v>
      </c>
    </row>
    <row r="19" spans="2:5" x14ac:dyDescent="0.25">
      <c r="C19" s="5"/>
      <c r="D19" s="5">
        <v>653.24599999999998</v>
      </c>
      <c r="E19" s="5">
        <v>5386.7920000000004</v>
      </c>
    </row>
    <row r="20" spans="2:5" x14ac:dyDescent="0.25">
      <c r="C20" s="5"/>
      <c r="D20" s="5">
        <v>598.04399999999998</v>
      </c>
      <c r="E20" s="5">
        <v>5265.5330000000004</v>
      </c>
    </row>
    <row r="21" spans="2:5" x14ac:dyDescent="0.25">
      <c r="C21" s="5"/>
      <c r="D21" s="5">
        <v>666.22500000000002</v>
      </c>
      <c r="E21" s="5">
        <v>5273.0029999999997</v>
      </c>
    </row>
    <row r="22" spans="2:5" x14ac:dyDescent="0.25">
      <c r="C22" s="5"/>
      <c r="D22" s="5">
        <v>707.60500000000002</v>
      </c>
      <c r="E22" s="5">
        <v>4306.5069999999996</v>
      </c>
    </row>
    <row r="23" spans="2:5" x14ac:dyDescent="0.25">
      <c r="C23" s="5"/>
      <c r="D23" s="5">
        <v>735.06200000000001</v>
      </c>
      <c r="E23" s="5">
        <v>5303.9530000000004</v>
      </c>
    </row>
    <row r="24" spans="2:5" x14ac:dyDescent="0.25">
      <c r="B24" s="2" t="s">
        <v>3</v>
      </c>
      <c r="C24" s="3">
        <f>AVERAGE(C4:C23)</f>
        <v>176.99190000000002</v>
      </c>
      <c r="D24" s="3">
        <f t="shared" ref="D24:E24" si="0">AVERAGE(D4:D23)</f>
        <v>656.7970499999999</v>
      </c>
      <c r="E24" s="3">
        <f t="shared" si="0"/>
        <v>6008.0112499999987</v>
      </c>
    </row>
    <row r="25" spans="2:5" x14ac:dyDescent="0.25">
      <c r="B25" s="2" t="s">
        <v>4</v>
      </c>
      <c r="C25" s="3">
        <f>STDEV(C4:C23)/SQRT(C26)</f>
        <v>2.4566877360019168</v>
      </c>
      <c r="D25" s="3">
        <f t="shared" ref="D25:E25" si="1">STDEV(D4:D23)/SQRT(D26)</f>
        <v>22.371306032443467</v>
      </c>
      <c r="E25" s="3">
        <f t="shared" si="1"/>
        <v>276.09092959891763</v>
      </c>
    </row>
    <row r="26" spans="2:5" x14ac:dyDescent="0.25">
      <c r="B26" s="2" t="s">
        <v>5</v>
      </c>
      <c r="C26" s="2">
        <f>COUNT(C4:C23)</f>
        <v>10</v>
      </c>
      <c r="D26" s="2">
        <f t="shared" ref="D26:E26" si="2">COUNT(D4:D23)</f>
        <v>20</v>
      </c>
      <c r="E26" s="2">
        <f t="shared" si="2"/>
        <v>20</v>
      </c>
    </row>
  </sheetData>
  <mergeCells count="1">
    <mergeCell ref="C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2025-11-03T16:07:02Z</dcterms:created>
  <dcterms:modified xsi:type="dcterms:W3CDTF">2025-11-14T14:40:15Z</dcterms:modified>
</cp:coreProperties>
</file>