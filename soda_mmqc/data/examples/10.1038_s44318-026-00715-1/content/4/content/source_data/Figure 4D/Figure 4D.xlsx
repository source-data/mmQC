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4\Figure 4D\"/>
    </mc:Choice>
  </mc:AlternateContent>
  <xr:revisionPtr revIDLastSave="0" documentId="13_ncr:1_{179771B0-DA98-43B9-BA85-A601A54AA2DD}" xr6:coauthVersionLast="47" xr6:coauthVersionMax="47" xr10:uidLastSave="{00000000-0000-0000-0000-000000000000}"/>
  <bookViews>
    <workbookView xWindow="-120" yWindow="-120" windowWidth="38640" windowHeight="21120" xr2:uid="{9FE3796E-103E-491F-BA32-E2ABEA7F612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4" i="1" l="1"/>
  <c r="E24" i="1"/>
  <c r="F24" i="1"/>
  <c r="G24" i="1"/>
  <c r="G25" i="1"/>
  <c r="D26" i="1"/>
  <c r="D25" i="1" s="1"/>
  <c r="E26" i="1"/>
  <c r="E25" i="1" s="1"/>
  <c r="F26" i="1"/>
  <c r="F25" i="1" s="1"/>
  <c r="G26" i="1"/>
  <c r="C26" i="1"/>
  <c r="C25" i="1"/>
  <c r="C24" i="1"/>
</calcChain>
</file>

<file path=xl/sharedStrings.xml><?xml version="1.0" encoding="utf-8"?>
<sst xmlns="http://schemas.openxmlformats.org/spreadsheetml/2006/main" count="9" uniqueCount="9">
  <si>
    <t>Background</t>
  </si>
  <si>
    <t>PacL2</t>
  </si>
  <si>
    <t>PacL2+Zn</t>
  </si>
  <si>
    <t>PacL2+Cd</t>
  </si>
  <si>
    <t>PacL2+Zn+Cd</t>
  </si>
  <si>
    <t>Average</t>
  </si>
  <si>
    <t>SEM</t>
  </si>
  <si>
    <t>n</t>
  </si>
  <si>
    <t>Fluorescence intensity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</si>
</sst>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3ADD1-183E-4841-A3F9-17C38ADA10EE}">
  <dimension ref="B2:G26"/>
  <sheetViews>
    <sheetView tabSelected="1" workbookViewId="0">
      <selection activeCell="L14" sqref="L14"/>
    </sheetView>
  </sheetViews>
  <sheetFormatPr baseColWidth="10" defaultRowHeight="15" x14ac:dyDescent="0.25"/>
  <cols>
    <col min="3" max="7" width="15.7109375" customWidth="1"/>
  </cols>
  <sheetData>
    <row r="2" spans="3:7" x14ac:dyDescent="0.25">
      <c r="C2" s="5" t="s">
        <v>8</v>
      </c>
      <c r="D2" s="5"/>
      <c r="E2" s="5"/>
      <c r="F2" s="5"/>
      <c r="G2" s="5"/>
    </row>
    <row r="3" spans="3:7" x14ac:dyDescent="0.25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</row>
    <row r="4" spans="3:7" x14ac:dyDescent="0.25">
      <c r="C4" s="1">
        <v>165</v>
      </c>
      <c r="D4" s="1">
        <v>1253</v>
      </c>
      <c r="E4" s="1">
        <v>1343</v>
      </c>
      <c r="F4" s="1">
        <v>6223</v>
      </c>
      <c r="G4" s="1">
        <v>1711</v>
      </c>
    </row>
    <row r="5" spans="3:7" x14ac:dyDescent="0.25">
      <c r="C5" s="1">
        <v>161</v>
      </c>
      <c r="D5" s="1">
        <v>1281</v>
      </c>
      <c r="E5" s="1">
        <v>1236</v>
      </c>
      <c r="F5" s="1">
        <v>6075</v>
      </c>
      <c r="G5" s="1">
        <v>1165</v>
      </c>
    </row>
    <row r="6" spans="3:7" x14ac:dyDescent="0.25">
      <c r="C6" s="1">
        <v>178</v>
      </c>
      <c r="D6" s="1">
        <v>1209</v>
      </c>
      <c r="E6" s="1">
        <v>1659</v>
      </c>
      <c r="F6" s="1">
        <v>4180</v>
      </c>
      <c r="G6" s="1">
        <v>2815</v>
      </c>
    </row>
    <row r="7" spans="3:7" x14ac:dyDescent="0.25">
      <c r="C7" s="1">
        <v>185</v>
      </c>
      <c r="D7" s="1">
        <v>769</v>
      </c>
      <c r="E7" s="1">
        <v>1914</v>
      </c>
      <c r="F7" s="1">
        <v>5416</v>
      </c>
      <c r="G7" s="1">
        <v>3097</v>
      </c>
    </row>
    <row r="8" spans="3:7" x14ac:dyDescent="0.25">
      <c r="C8" s="1">
        <v>159</v>
      </c>
      <c r="D8" s="1">
        <v>782</v>
      </c>
      <c r="E8" s="1">
        <v>1306</v>
      </c>
      <c r="F8" s="1">
        <v>4126</v>
      </c>
      <c r="G8" s="1">
        <v>3053</v>
      </c>
    </row>
    <row r="9" spans="3:7" x14ac:dyDescent="0.25">
      <c r="C9" s="1">
        <v>162</v>
      </c>
      <c r="D9" s="1">
        <v>608</v>
      </c>
      <c r="E9" s="1">
        <v>1507</v>
      </c>
      <c r="F9" s="1">
        <v>5704</v>
      </c>
      <c r="G9" s="1">
        <v>3165</v>
      </c>
    </row>
    <row r="10" spans="3:7" x14ac:dyDescent="0.25">
      <c r="C10" s="1">
        <v>175</v>
      </c>
      <c r="D10" s="1">
        <v>571</v>
      </c>
      <c r="E10" s="1">
        <v>1248</v>
      </c>
      <c r="F10" s="1">
        <v>5342</v>
      </c>
      <c r="G10" s="1">
        <v>3246</v>
      </c>
    </row>
    <row r="11" spans="3:7" x14ac:dyDescent="0.25">
      <c r="C11" s="1">
        <v>165</v>
      </c>
      <c r="D11" s="1">
        <v>736</v>
      </c>
      <c r="E11" s="1">
        <v>926</v>
      </c>
      <c r="F11" s="1">
        <v>5253</v>
      </c>
      <c r="G11" s="1">
        <v>2976</v>
      </c>
    </row>
    <row r="12" spans="3:7" x14ac:dyDescent="0.25">
      <c r="C12" s="1">
        <v>158</v>
      </c>
      <c r="D12" s="1">
        <v>836</v>
      </c>
      <c r="E12" s="1">
        <v>1066</v>
      </c>
      <c r="F12" s="1">
        <v>1945</v>
      </c>
      <c r="G12" s="1">
        <v>3738</v>
      </c>
    </row>
    <row r="13" spans="3:7" x14ac:dyDescent="0.25">
      <c r="C13" s="1">
        <v>162</v>
      </c>
      <c r="D13" s="1">
        <v>552</v>
      </c>
      <c r="E13" s="1">
        <v>1196</v>
      </c>
      <c r="F13" s="1">
        <v>3210</v>
      </c>
      <c r="G13" s="1">
        <v>2241</v>
      </c>
    </row>
    <row r="14" spans="3:7" x14ac:dyDescent="0.25">
      <c r="C14" s="1">
        <v>181</v>
      </c>
      <c r="D14" s="1">
        <v>1122</v>
      </c>
      <c r="E14" s="1">
        <v>1939</v>
      </c>
      <c r="F14" s="1">
        <v>1894</v>
      </c>
      <c r="G14" s="1">
        <v>3381</v>
      </c>
    </row>
    <row r="15" spans="3:7" x14ac:dyDescent="0.25">
      <c r="C15" s="1">
        <v>160</v>
      </c>
      <c r="D15" s="1">
        <v>921</v>
      </c>
      <c r="E15" s="1">
        <v>1517</v>
      </c>
      <c r="F15" s="1">
        <v>4665</v>
      </c>
      <c r="G15" s="1">
        <v>3616</v>
      </c>
    </row>
    <row r="16" spans="3:7" x14ac:dyDescent="0.25">
      <c r="C16" s="1">
        <v>176</v>
      </c>
      <c r="D16" s="1">
        <v>1036</v>
      </c>
      <c r="E16" s="1">
        <v>1034</v>
      </c>
      <c r="F16" s="1">
        <v>4641</v>
      </c>
      <c r="G16" s="1">
        <v>3061</v>
      </c>
    </row>
    <row r="17" spans="2:7" x14ac:dyDescent="0.25">
      <c r="C17" s="1">
        <v>168</v>
      </c>
      <c r="D17" s="1">
        <v>865</v>
      </c>
      <c r="E17" s="1">
        <v>1393</v>
      </c>
      <c r="F17" s="1">
        <v>5230</v>
      </c>
      <c r="G17" s="1">
        <v>1884</v>
      </c>
    </row>
    <row r="18" spans="2:7" x14ac:dyDescent="0.25">
      <c r="C18" s="1">
        <v>193</v>
      </c>
      <c r="D18" s="1">
        <v>815</v>
      </c>
      <c r="E18" s="1">
        <v>1593</v>
      </c>
      <c r="F18" s="1">
        <v>4074</v>
      </c>
      <c r="G18" s="1">
        <v>2189</v>
      </c>
    </row>
    <row r="19" spans="2:7" x14ac:dyDescent="0.25">
      <c r="C19" s="1">
        <v>162</v>
      </c>
      <c r="D19" s="1">
        <v>1091</v>
      </c>
      <c r="E19" s="1">
        <v>1094</v>
      </c>
      <c r="F19" s="1">
        <v>3485</v>
      </c>
      <c r="G19" s="1">
        <v>2584</v>
      </c>
    </row>
    <row r="20" spans="2:7" x14ac:dyDescent="0.25">
      <c r="C20" s="1">
        <v>164</v>
      </c>
      <c r="D20" s="1">
        <v>1044</v>
      </c>
      <c r="E20" s="1">
        <v>1230</v>
      </c>
      <c r="F20" s="1">
        <v>2540</v>
      </c>
      <c r="G20" s="1">
        <v>2845</v>
      </c>
    </row>
    <row r="21" spans="2:7" x14ac:dyDescent="0.25">
      <c r="C21" s="1">
        <v>161</v>
      </c>
      <c r="D21" s="1">
        <v>1001</v>
      </c>
      <c r="E21" s="1">
        <v>985</v>
      </c>
      <c r="F21" s="1">
        <v>3455</v>
      </c>
      <c r="G21" s="1">
        <v>2314</v>
      </c>
    </row>
    <row r="22" spans="2:7" x14ac:dyDescent="0.25">
      <c r="C22" s="1">
        <v>167</v>
      </c>
      <c r="D22" s="1">
        <v>611</v>
      </c>
      <c r="E22" s="1">
        <v>1353</v>
      </c>
      <c r="F22" s="1">
        <v>2503</v>
      </c>
      <c r="G22" s="1">
        <v>1706</v>
      </c>
    </row>
    <row r="23" spans="2:7" x14ac:dyDescent="0.25">
      <c r="C23" s="1">
        <v>164</v>
      </c>
      <c r="D23" s="1">
        <v>952</v>
      </c>
      <c r="E23" s="1">
        <v>1523</v>
      </c>
      <c r="F23" s="1">
        <v>5628</v>
      </c>
      <c r="G23" s="1">
        <v>1536</v>
      </c>
    </row>
    <row r="24" spans="2:7" x14ac:dyDescent="0.25">
      <c r="B24" s="2" t="s">
        <v>5</v>
      </c>
      <c r="C24" s="3">
        <f>AVERAGE(C4:C23)</f>
        <v>168.3</v>
      </c>
      <c r="D24" s="3">
        <f t="shared" ref="D24:G24" si="0">AVERAGE(D4:D23)</f>
        <v>902.75</v>
      </c>
      <c r="E24" s="3">
        <f t="shared" si="0"/>
        <v>1353.1</v>
      </c>
      <c r="F24" s="3">
        <f t="shared" si="0"/>
        <v>4279.45</v>
      </c>
      <c r="G24" s="3">
        <f t="shared" si="0"/>
        <v>2616.15</v>
      </c>
    </row>
    <row r="25" spans="2:7" x14ac:dyDescent="0.25">
      <c r="B25" s="2" t="s">
        <v>6</v>
      </c>
      <c r="C25" s="3">
        <f>STDEV(C4:C23)/SQRT(C26)</f>
        <v>2.1741301951040461</v>
      </c>
      <c r="D25" s="3">
        <f t="shared" ref="D25:G25" si="1">STDEV(D4:D23)/SQRT(D26)</f>
        <v>50.578228882021023</v>
      </c>
      <c r="E25" s="3">
        <f t="shared" si="1"/>
        <v>63.37502828816968</v>
      </c>
      <c r="F25" s="3">
        <f t="shared" si="1"/>
        <v>304.58131292679542</v>
      </c>
      <c r="G25" s="3">
        <f t="shared" si="1"/>
        <v>164.27142614395376</v>
      </c>
    </row>
    <row r="26" spans="2:7" x14ac:dyDescent="0.25">
      <c r="B26" s="2" t="s">
        <v>7</v>
      </c>
      <c r="C26" s="2">
        <f>COUNT(C4:C23)</f>
        <v>20</v>
      </c>
      <c r="D26" s="2">
        <f t="shared" ref="D26:G26" si="2">COUNT(D4:D23)</f>
        <v>20</v>
      </c>
      <c r="E26" s="2">
        <f t="shared" si="2"/>
        <v>20</v>
      </c>
      <c r="F26" s="2">
        <f t="shared" si="2"/>
        <v>20</v>
      </c>
      <c r="G26" s="2">
        <f t="shared" si="2"/>
        <v>20</v>
      </c>
    </row>
  </sheetData>
  <mergeCells count="1">
    <mergeCell ref="C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Pierre</dc:creator>
  <cp:lastModifiedBy>Dupuy Pierre</cp:lastModifiedBy>
  <dcterms:created xsi:type="dcterms:W3CDTF">2025-11-06T15:22:24Z</dcterms:created>
  <dcterms:modified xsi:type="dcterms:W3CDTF">2025-11-14T14:54:25Z</dcterms:modified>
</cp:coreProperties>
</file>