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A\"/>
    </mc:Choice>
  </mc:AlternateContent>
  <xr:revisionPtr revIDLastSave="0" documentId="13_ncr:1_{1EB0B063-C670-4C2E-BDA2-ED31137CCC98}" xr6:coauthVersionLast="47" xr6:coauthVersionMax="47" xr10:uidLastSave="{00000000-0000-0000-0000-000000000000}"/>
  <bookViews>
    <workbookView xWindow="-120" yWindow="-120" windowWidth="38640" windowHeight="21120" xr2:uid="{45145967-8FDC-417D-8103-F251781324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D26" i="1"/>
  <c r="D25" i="1" s="1"/>
  <c r="E26" i="1"/>
  <c r="E25" i="1" s="1"/>
  <c r="F26" i="1"/>
  <c r="F25" i="1" s="1"/>
  <c r="G26" i="1"/>
  <c r="G25" i="1" s="1"/>
  <c r="H26" i="1"/>
  <c r="H25" i="1" s="1"/>
  <c r="I26" i="1"/>
  <c r="I25" i="1" s="1"/>
  <c r="C26" i="1"/>
  <c r="C25" i="1" s="1"/>
  <c r="E24" i="1"/>
  <c r="F24" i="1"/>
  <c r="G24" i="1"/>
  <c r="H24" i="1"/>
  <c r="I24" i="1"/>
  <c r="C24" i="1"/>
</calcChain>
</file>

<file path=xl/sharedStrings.xml><?xml version="1.0" encoding="utf-8"?>
<sst xmlns="http://schemas.openxmlformats.org/spreadsheetml/2006/main" count="11" uniqueCount="11">
  <si>
    <t>Control</t>
  </si>
  <si>
    <t>PacL1/PacL1</t>
  </si>
  <si>
    <t>PacL2/PacL2</t>
  </si>
  <si>
    <t>PacL2/PacL1</t>
  </si>
  <si>
    <t>PacL3/PacL1</t>
  </si>
  <si>
    <t>PacL2/PacL3</t>
  </si>
  <si>
    <t>Rv1488/PacL1</t>
  </si>
  <si>
    <t>Average</t>
  </si>
  <si>
    <t>SEM</t>
  </si>
  <si>
    <t>n</t>
  </si>
  <si>
    <t>GFP+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</si>
</sst>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525C-46E4-4B82-9010-204CB308B9F6}">
  <dimension ref="B2:I26"/>
  <sheetViews>
    <sheetView tabSelected="1" workbookViewId="0">
      <selection activeCell="F10" sqref="F10"/>
    </sheetView>
  </sheetViews>
  <sheetFormatPr baseColWidth="10" defaultRowHeight="15" x14ac:dyDescent="0.25"/>
  <cols>
    <col min="3" max="9" width="15.7109375" customWidth="1"/>
  </cols>
  <sheetData>
    <row r="2" spans="3:9" x14ac:dyDescent="0.25">
      <c r="C2" s="5" t="s">
        <v>10</v>
      </c>
      <c r="D2" s="5"/>
      <c r="E2" s="5"/>
      <c r="F2" s="5"/>
      <c r="G2" s="5"/>
      <c r="H2" s="5"/>
      <c r="I2" s="5"/>
    </row>
    <row r="3" spans="3:9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3:9" x14ac:dyDescent="0.25">
      <c r="C4" s="1">
        <v>2.12</v>
      </c>
      <c r="D4" s="1">
        <v>91.4</v>
      </c>
      <c r="E4" s="1">
        <v>94.3</v>
      </c>
      <c r="F4" s="1">
        <v>99.5</v>
      </c>
      <c r="G4" s="1">
        <v>99.6</v>
      </c>
      <c r="H4" s="1">
        <v>96.8</v>
      </c>
      <c r="I4" s="1">
        <v>8.82</v>
      </c>
    </row>
    <row r="5" spans="3:9" x14ac:dyDescent="0.25">
      <c r="C5" s="1">
        <v>1.84</v>
      </c>
      <c r="D5" s="1">
        <v>98.2</v>
      </c>
      <c r="E5" s="1">
        <v>94.2</v>
      </c>
      <c r="F5" s="1">
        <v>99.8</v>
      </c>
      <c r="G5" s="1">
        <v>99.8</v>
      </c>
      <c r="H5" s="1">
        <v>98.5</v>
      </c>
      <c r="I5" s="1">
        <v>36.1</v>
      </c>
    </row>
    <row r="6" spans="3:9" x14ac:dyDescent="0.25">
      <c r="C6" s="1">
        <v>0.04</v>
      </c>
      <c r="D6" s="1">
        <v>97.9</v>
      </c>
      <c r="E6" s="1">
        <v>95.7</v>
      </c>
      <c r="F6" s="1">
        <v>98.6</v>
      </c>
      <c r="G6" s="1">
        <v>98.9</v>
      </c>
      <c r="H6" s="1">
        <v>98.2</v>
      </c>
      <c r="I6" s="1">
        <v>37.700000000000003</v>
      </c>
    </row>
    <row r="7" spans="3:9" x14ac:dyDescent="0.25">
      <c r="C7" s="1">
        <v>0.68</v>
      </c>
      <c r="D7" s="1">
        <v>95.2</v>
      </c>
      <c r="E7" s="1">
        <v>93.7</v>
      </c>
      <c r="F7" s="1">
        <v>98.3</v>
      </c>
      <c r="G7" s="1">
        <v>98.8</v>
      </c>
      <c r="H7" s="1">
        <v>98.1</v>
      </c>
      <c r="I7" s="1">
        <v>35.4</v>
      </c>
    </row>
    <row r="8" spans="3:9" x14ac:dyDescent="0.25">
      <c r="C8" s="1">
        <v>1.1299999999999999</v>
      </c>
      <c r="D8" s="1">
        <v>95.8</v>
      </c>
      <c r="E8" s="1">
        <v>93.4</v>
      </c>
      <c r="F8" s="1">
        <v>97.8</v>
      </c>
      <c r="G8" s="1">
        <v>99</v>
      </c>
      <c r="H8" s="1">
        <v>97.1</v>
      </c>
      <c r="I8" s="1">
        <v>22.1</v>
      </c>
    </row>
    <row r="9" spans="3:9" x14ac:dyDescent="0.25">
      <c r="C9" s="1">
        <v>1.2</v>
      </c>
      <c r="D9" s="1">
        <v>95.1</v>
      </c>
      <c r="E9" s="1">
        <v>93.5</v>
      </c>
      <c r="F9" s="1"/>
      <c r="G9" s="1"/>
      <c r="H9" s="1">
        <v>98</v>
      </c>
      <c r="I9" s="1">
        <v>25.1</v>
      </c>
    </row>
    <row r="10" spans="3:9" x14ac:dyDescent="0.25">
      <c r="C10" s="1">
        <v>0.85</v>
      </c>
      <c r="D10" s="1">
        <v>88.2</v>
      </c>
      <c r="E10" s="1"/>
      <c r="F10" s="1"/>
      <c r="G10" s="1"/>
      <c r="H10" s="1">
        <v>98.7</v>
      </c>
      <c r="I10" s="1">
        <v>23.6</v>
      </c>
    </row>
    <row r="11" spans="3:9" x14ac:dyDescent="0.25">
      <c r="C11" s="1">
        <v>0.57999999999999996</v>
      </c>
      <c r="D11" s="1">
        <v>84.5</v>
      </c>
      <c r="E11" s="1"/>
      <c r="F11" s="1"/>
      <c r="G11" s="1"/>
      <c r="H11" s="1"/>
      <c r="I11" s="1"/>
    </row>
    <row r="12" spans="3:9" x14ac:dyDescent="0.25">
      <c r="C12" s="1">
        <v>0.31</v>
      </c>
      <c r="D12" s="1">
        <v>85.1</v>
      </c>
      <c r="E12" s="1"/>
      <c r="F12" s="1"/>
      <c r="G12" s="1"/>
      <c r="H12" s="1"/>
      <c r="I12" s="1"/>
    </row>
    <row r="13" spans="3:9" x14ac:dyDescent="0.25">
      <c r="C13" s="1">
        <v>0.27</v>
      </c>
      <c r="D13" s="1">
        <v>85.1</v>
      </c>
      <c r="E13" s="1"/>
      <c r="F13" s="1"/>
      <c r="G13" s="1"/>
      <c r="H13" s="1"/>
      <c r="I13" s="1"/>
    </row>
    <row r="14" spans="3:9" x14ac:dyDescent="0.25">
      <c r="C14" s="1">
        <v>0.35</v>
      </c>
      <c r="D14" s="1">
        <v>81.2</v>
      </c>
      <c r="E14" s="1"/>
      <c r="F14" s="1"/>
      <c r="G14" s="1"/>
      <c r="H14" s="1"/>
      <c r="I14" s="1"/>
    </row>
    <row r="15" spans="3:9" x14ac:dyDescent="0.25">
      <c r="C15" s="1">
        <v>0.22</v>
      </c>
      <c r="D15" s="1">
        <v>80</v>
      </c>
      <c r="E15" s="1"/>
      <c r="F15" s="1"/>
      <c r="G15" s="1"/>
      <c r="H15" s="1"/>
      <c r="I15" s="1"/>
    </row>
    <row r="16" spans="3:9" x14ac:dyDescent="0.25">
      <c r="C16" s="1">
        <v>0.24</v>
      </c>
      <c r="D16" s="1">
        <v>80.599999999999994</v>
      </c>
      <c r="E16" s="1"/>
      <c r="F16" s="1"/>
      <c r="G16" s="1"/>
      <c r="H16" s="1"/>
      <c r="I16" s="1"/>
    </row>
    <row r="17" spans="2:9" x14ac:dyDescent="0.25">
      <c r="C17" s="1">
        <v>0.2</v>
      </c>
      <c r="D17" s="1"/>
      <c r="E17" s="1"/>
      <c r="F17" s="1"/>
      <c r="G17" s="1"/>
      <c r="H17" s="1"/>
      <c r="I17" s="1"/>
    </row>
    <row r="18" spans="2:9" x14ac:dyDescent="0.25">
      <c r="C18" s="1">
        <v>0.44</v>
      </c>
      <c r="D18" s="1"/>
      <c r="E18" s="1"/>
      <c r="F18" s="1"/>
      <c r="G18" s="1"/>
      <c r="H18" s="1"/>
      <c r="I18" s="1"/>
    </row>
    <row r="19" spans="2:9" x14ac:dyDescent="0.25">
      <c r="C19" s="1">
        <v>0.4</v>
      </c>
      <c r="D19" s="1"/>
      <c r="E19" s="1"/>
      <c r="F19" s="1"/>
      <c r="G19" s="1"/>
      <c r="H19" s="1"/>
      <c r="I19" s="1"/>
    </row>
    <row r="20" spans="2:9" x14ac:dyDescent="0.25">
      <c r="C20" s="1">
        <v>0.32</v>
      </c>
      <c r="D20" s="1"/>
      <c r="E20" s="1"/>
      <c r="F20" s="1"/>
      <c r="G20" s="1"/>
      <c r="H20" s="1"/>
      <c r="I20" s="1"/>
    </row>
    <row r="21" spans="2:9" x14ac:dyDescent="0.25">
      <c r="C21" s="1">
        <v>0.31</v>
      </c>
      <c r="D21" s="1"/>
      <c r="E21" s="1"/>
      <c r="F21" s="1"/>
      <c r="G21" s="1"/>
      <c r="H21" s="1"/>
      <c r="I21" s="1"/>
    </row>
    <row r="22" spans="2:9" x14ac:dyDescent="0.25">
      <c r="C22" s="1">
        <v>0.16</v>
      </c>
      <c r="D22" s="1"/>
      <c r="E22" s="1"/>
      <c r="F22" s="1"/>
      <c r="G22" s="1"/>
      <c r="H22" s="1"/>
      <c r="I22" s="1"/>
    </row>
    <row r="23" spans="2:9" x14ac:dyDescent="0.25">
      <c r="C23" s="1">
        <v>0.31</v>
      </c>
      <c r="D23" s="1"/>
      <c r="E23" s="1"/>
      <c r="F23" s="1"/>
      <c r="G23" s="1"/>
      <c r="H23" s="1"/>
      <c r="I23" s="1"/>
    </row>
    <row r="24" spans="2:9" x14ac:dyDescent="0.25">
      <c r="B24" s="3" t="s">
        <v>7</v>
      </c>
      <c r="C24" s="4">
        <f>AVERAGE(C4:C23)</f>
        <v>0.59850000000000003</v>
      </c>
      <c r="D24" s="4">
        <f>AVERAGE(D4:D23)</f>
        <v>89.100000000000009</v>
      </c>
      <c r="E24" s="4">
        <f t="shared" ref="E24:I24" si="0">AVERAGE(E4:E23)</f>
        <v>94.133333333333326</v>
      </c>
      <c r="F24" s="4">
        <f t="shared" si="0"/>
        <v>98.8</v>
      </c>
      <c r="G24" s="4">
        <f t="shared" si="0"/>
        <v>99.22</v>
      </c>
      <c r="H24" s="4">
        <f t="shared" si="0"/>
        <v>97.914285714285725</v>
      </c>
      <c r="I24" s="4">
        <f t="shared" si="0"/>
        <v>26.974285714285713</v>
      </c>
    </row>
    <row r="25" spans="2:9" x14ac:dyDescent="0.25">
      <c r="B25" s="3" t="s">
        <v>8</v>
      </c>
      <c r="C25" s="4">
        <f>STDEV(C4:C23)/SQRT(C26)</f>
        <v>0.12635637779916897</v>
      </c>
      <c r="D25" s="4">
        <f t="shared" ref="D25:I25" si="1">STDEV(D4:D23)/SQRT(D26)</f>
        <v>1.8863205263700891</v>
      </c>
      <c r="E25" s="4">
        <f t="shared" si="1"/>
        <v>0.34705106892854315</v>
      </c>
      <c r="F25" s="4">
        <f t="shared" si="1"/>
        <v>0.37282703764614533</v>
      </c>
      <c r="G25" s="4">
        <f t="shared" si="1"/>
        <v>0.2009975124224167</v>
      </c>
      <c r="H25" s="4">
        <f t="shared" si="1"/>
        <v>0.26675168712687547</v>
      </c>
      <c r="I25" s="4">
        <f t="shared" si="1"/>
        <v>3.8961145829579298</v>
      </c>
    </row>
    <row r="26" spans="2:9" x14ac:dyDescent="0.25">
      <c r="B26" s="3" t="s">
        <v>9</v>
      </c>
      <c r="C26" s="3">
        <f>COUNT(C4:C23)</f>
        <v>20</v>
      </c>
      <c r="D26" s="3">
        <f t="shared" ref="D26:I26" si="2">COUNT(D4:D23)</f>
        <v>13</v>
      </c>
      <c r="E26" s="3">
        <f t="shared" si="2"/>
        <v>6</v>
      </c>
      <c r="F26" s="3">
        <f t="shared" si="2"/>
        <v>5</v>
      </c>
      <c r="G26" s="3">
        <f t="shared" si="2"/>
        <v>5</v>
      </c>
      <c r="H26" s="3">
        <f t="shared" si="2"/>
        <v>7</v>
      </c>
      <c r="I26" s="3">
        <f t="shared" si="2"/>
        <v>7</v>
      </c>
    </row>
  </sheetData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2025-11-06T15:01:51Z</dcterms:created>
  <dcterms:modified xsi:type="dcterms:W3CDTF">2025-11-14T14:52:13Z</dcterms:modified>
</cp:coreProperties>
</file>