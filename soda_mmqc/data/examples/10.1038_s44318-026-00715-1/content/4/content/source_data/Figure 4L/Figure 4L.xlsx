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L\"/>
    </mc:Choice>
  </mc:AlternateContent>
  <xr:revisionPtr revIDLastSave="0" documentId="13_ncr:1_{38D2CF7A-AEA0-4E90-9A24-19FD0A988E96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  <c r="E24" i="1"/>
  <c r="D26" i="1"/>
  <c r="D25" i="1" s="1"/>
  <c r="E26" i="1"/>
  <c r="E25" i="1" s="1"/>
  <c r="C26" i="1"/>
  <c r="C25" i="1"/>
  <c r="C24" i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<sst xmlns="http://schemas.openxmlformats.org/spreadsheetml/2006/main" count="7" uniqueCount="7">
  <si>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</si>
  <si>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</si>
  <si>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</si>
  <si>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Background</t>
  </si>
  <si>
    <r>
      <t>CtpG</t>
    </r>
    <r>
      <rPr>
        <vertAlign val="superscript"/>
        <sz val="10"/>
        <rFont val="Arial"/>
        <family val="2"/>
      </rPr>
      <t>mV</t>
    </r>
    <r>
      <rPr>
        <sz val="10"/>
        <rFont val="Arial"/>
        <family val="2"/>
      </rPr>
      <t>-ATC</t>
    </r>
  </si>
  <si>
    <r>
      <t>CtpG</t>
    </r>
    <r>
      <rPr>
        <vertAlign val="superscript"/>
        <sz val="10"/>
        <rFont val="Arial"/>
        <family val="2"/>
      </rPr>
      <t>mV</t>
    </r>
    <r>
      <rPr>
        <sz val="10"/>
        <rFont val="Arial"/>
        <family val="2"/>
      </rPr>
      <t>+ATC</t>
    </r>
  </si>
  <si>
    <t>Fluorescence intensity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</si>
</sst>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E26"/>
  <sheetViews>
    <sheetView tabSelected="1" workbookViewId="0">
      <selection activeCell="I14" sqref="I14"/>
    </sheetView>
  </sheetViews>
  <sheetFormatPr baseColWidth="10" defaultRowHeight="15" x14ac:dyDescent="0.25"/>
  <cols>
    <col min="2" max="5" width="15.7109375" customWidth="1"/>
  </cols>
  <sheetData>
    <row r="2" spans="3:5" x14ac:dyDescent="0.25">
      <c r="C2" s="6" t="s">
        <v>6</v>
      </c>
      <c r="D2" s="7"/>
      <c r="E2" s="8"/>
    </row>
    <row r="3" spans="3:5" x14ac:dyDescent="0.25">
      <c r="C3" s="5" t="s">
        <v>3</v>
      </c>
      <c r="D3" s="5" t="s">
        <v>4</v>
      </c>
      <c r="E3" s="5" t="s">
        <v>5</v>
      </c>
    </row>
    <row r="4" spans="3:5" x14ac:dyDescent="0.25">
      <c r="C4" s="4">
        <v>109.893</v>
      </c>
      <c r="D4" s="4">
        <v>243.54599999999999</v>
      </c>
      <c r="E4" s="4">
        <v>306.87299999999999</v>
      </c>
    </row>
    <row r="5" spans="3:5" x14ac:dyDescent="0.25">
      <c r="C5" s="4">
        <v>110.482</v>
      </c>
      <c r="D5" s="4">
        <v>266.00200000000001</v>
      </c>
      <c r="E5" s="4">
        <v>353.85199999999998</v>
      </c>
    </row>
    <row r="6" spans="3:5" x14ac:dyDescent="0.25">
      <c r="C6" s="4">
        <v>109.79300000000001</v>
      </c>
      <c r="D6" s="4">
        <v>248.53800000000001</v>
      </c>
      <c r="E6" s="4">
        <v>313.53800000000001</v>
      </c>
    </row>
    <row r="7" spans="3:5" x14ac:dyDescent="0.25">
      <c r="C7" s="4">
        <v>109.971</v>
      </c>
      <c r="D7" s="4">
        <v>208.63800000000001</v>
      </c>
      <c r="E7" s="4">
        <v>265.00200000000001</v>
      </c>
    </row>
    <row r="8" spans="3:5" x14ac:dyDescent="0.25">
      <c r="C8" s="4">
        <v>110.11499999999999</v>
      </c>
      <c r="D8" s="4">
        <v>225.661</v>
      </c>
      <c r="E8" s="4">
        <v>291.07900000000001</v>
      </c>
    </row>
    <row r="9" spans="3:5" x14ac:dyDescent="0.25">
      <c r="C9" s="4">
        <v>110.515</v>
      </c>
      <c r="D9" s="4">
        <v>220.755</v>
      </c>
      <c r="E9" s="4">
        <v>318.45699999999999</v>
      </c>
    </row>
    <row r="10" spans="3:5" x14ac:dyDescent="0.25">
      <c r="C10" s="4">
        <v>110.33199999999999</v>
      </c>
      <c r="D10" s="4">
        <v>250.58</v>
      </c>
      <c r="E10" s="4">
        <v>349.995</v>
      </c>
    </row>
    <row r="11" spans="3:5" x14ac:dyDescent="0.25">
      <c r="C11" s="4">
        <v>109.959</v>
      </c>
      <c r="D11" s="4">
        <v>208.755</v>
      </c>
      <c r="E11" s="4">
        <v>273.12700000000001</v>
      </c>
    </row>
    <row r="12" spans="3:5" x14ac:dyDescent="0.25">
      <c r="C12" s="4">
        <v>109.9</v>
      </c>
      <c r="D12" s="4">
        <v>231.26300000000001</v>
      </c>
      <c r="E12" s="4">
        <v>316.12400000000002</v>
      </c>
    </row>
    <row r="13" spans="3:5" x14ac:dyDescent="0.25">
      <c r="C13" s="4">
        <v>110.40600000000001</v>
      </c>
      <c r="D13" s="4">
        <v>199.86500000000001</v>
      </c>
      <c r="E13" s="4">
        <v>281.03699999999998</v>
      </c>
    </row>
    <row r="14" spans="3:5" x14ac:dyDescent="0.25">
      <c r="C14" s="4"/>
      <c r="D14" s="4">
        <v>257.99299999999999</v>
      </c>
      <c r="E14" s="4">
        <v>264.07900000000001</v>
      </c>
    </row>
    <row r="15" spans="3:5" x14ac:dyDescent="0.25">
      <c r="C15" s="4"/>
      <c r="D15" s="4">
        <v>205.03800000000001</v>
      </c>
      <c r="E15" s="4">
        <v>302.113</v>
      </c>
    </row>
    <row r="16" spans="3:5" x14ac:dyDescent="0.25">
      <c r="C16" s="4"/>
      <c r="D16" s="4">
        <v>211.999</v>
      </c>
      <c r="E16" s="4">
        <v>354.88299999999998</v>
      </c>
    </row>
    <row r="17" spans="2:5" x14ac:dyDescent="0.25">
      <c r="C17" s="4"/>
      <c r="D17" s="4">
        <v>233.16</v>
      </c>
      <c r="E17" s="4">
        <v>264.87099999999998</v>
      </c>
    </row>
    <row r="18" spans="2:5" x14ac:dyDescent="0.25">
      <c r="C18" s="4"/>
      <c r="D18" s="4">
        <v>232.24100000000001</v>
      </c>
      <c r="E18" s="4">
        <v>320.78399999999999</v>
      </c>
    </row>
    <row r="19" spans="2:5" x14ac:dyDescent="0.25">
      <c r="C19" s="4"/>
      <c r="D19" s="4">
        <v>228.505</v>
      </c>
      <c r="E19" s="4">
        <v>332.94799999999998</v>
      </c>
    </row>
    <row r="20" spans="2:5" x14ac:dyDescent="0.25">
      <c r="C20" s="4"/>
      <c r="D20" s="4">
        <v>226.44399999999999</v>
      </c>
      <c r="E20" s="4">
        <v>280.637</v>
      </c>
    </row>
    <row r="21" spans="2:5" x14ac:dyDescent="0.25">
      <c r="C21" s="4"/>
      <c r="D21" s="4">
        <v>226.33500000000001</v>
      </c>
      <c r="E21" s="4">
        <v>299.904</v>
      </c>
    </row>
    <row r="22" spans="2:5" x14ac:dyDescent="0.25">
      <c r="C22" s="4"/>
      <c r="D22" s="4">
        <v>237.03700000000001</v>
      </c>
      <c r="E22" s="4">
        <v>253.679</v>
      </c>
    </row>
    <row r="23" spans="2:5" x14ac:dyDescent="0.25">
      <c r="C23" s="4"/>
      <c r="D23" s="4">
        <v>218.9</v>
      </c>
      <c r="E23" s="4">
        <v>362.71300000000002</v>
      </c>
    </row>
    <row r="24" spans="2:5" x14ac:dyDescent="0.25">
      <c r="B24" s="3" t="s">
        <v>0</v>
      </c>
      <c r="C24" s="2">
        <f>AVERAGE(C4:C23)</f>
        <v>110.1366</v>
      </c>
      <c r="D24" s="2">
        <f t="shared" ref="D24:E24" si="0">AVERAGE(D4:D23)</f>
        <v>229.06274999999997</v>
      </c>
      <c r="E24" s="2">
        <f t="shared" si="0"/>
        <v>305.28474999999992</v>
      </c>
    </row>
    <row r="25" spans="2:5" x14ac:dyDescent="0.25">
      <c r="B25" s="3" t="s">
        <v>1</v>
      </c>
      <c r="C25" s="2">
        <f>STDEV(C4:C23)/SQRT(C26)</f>
        <v>8.6027024177805833E-2</v>
      </c>
      <c r="D25" s="2">
        <f t="shared" ref="D25:E25" si="1">STDEV(D4:D23)/SQRT(D26)</f>
        <v>4.0058357271643468</v>
      </c>
      <c r="E25" s="2">
        <f t="shared" si="1"/>
        <v>7.5341909972840027</v>
      </c>
    </row>
    <row r="26" spans="2:5" x14ac:dyDescent="0.25">
      <c r="B26" s="3" t="s">
        <v>2</v>
      </c>
      <c r="C26" s="1">
        <f>COUNT(C4:C23)</f>
        <v>10</v>
      </c>
      <c r="D26" s="1">
        <f t="shared" ref="D26:E26" si="2">COUNT(D4:D23)</f>
        <v>20</v>
      </c>
      <c r="E26" s="1">
        <f t="shared" si="2"/>
        <v>20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2025-11-14T14:59:21Z</dcterms:modified>
</cp:coreProperties>
</file>