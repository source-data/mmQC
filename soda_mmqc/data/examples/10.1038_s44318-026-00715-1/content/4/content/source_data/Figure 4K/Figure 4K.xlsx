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K\"/>
    </mc:Choice>
  </mc:AlternateContent>
  <xr:revisionPtr revIDLastSave="0" documentId="13_ncr:1_{E3158B29-0703-49A8-9C73-E15369E8D9CB}" xr6:coauthVersionLast="47" xr6:coauthVersionMax="47" xr10:uidLastSave="{00000000-0000-0000-0000-000000000000}"/>
  <bookViews>
    <workbookView xWindow="5235" yWindow="6060" windowWidth="15855" windowHeight="9825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D26" i="1"/>
  <c r="D25" i="1" s="1"/>
  <c r="E26" i="1"/>
  <c r="E25" i="1" s="1"/>
  <c r="C26" i="1"/>
  <c r="C25" i="1" s="1"/>
  <c r="C24" i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<sst xmlns="http://schemas.openxmlformats.org/spreadsheetml/2006/main" count="7" uniqueCount="7">
  <si>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</si>
  <si>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</si>
  <si>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</si>
  <si>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Background</t>
  </si>
  <si>
    <r>
      <t>PacL1</t>
    </r>
    <r>
      <rPr>
        <vertAlign val="superscript"/>
        <sz val="10"/>
        <rFont val="Arial"/>
        <family val="2"/>
      </rPr>
      <t>mT</t>
    </r>
    <r>
      <rPr>
        <sz val="10"/>
        <rFont val="Arial"/>
        <family val="2"/>
      </rPr>
      <t>-ATC</t>
    </r>
  </si>
  <si>
    <r>
      <t>PacL1</t>
    </r>
    <r>
      <rPr>
        <vertAlign val="superscript"/>
        <sz val="10"/>
        <rFont val="Arial"/>
        <family val="2"/>
      </rPr>
      <t>mT</t>
    </r>
    <r>
      <rPr>
        <sz val="10"/>
        <rFont val="Arial"/>
        <family val="2"/>
      </rPr>
      <t>+ATC</t>
    </r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</si>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</sst>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E26"/>
  <sheetViews>
    <sheetView tabSelected="1" workbookViewId="0">
      <selection activeCell="D10" sqref="D10"/>
    </sheetView>
  </sheetViews>
  <sheetFormatPr baseColWidth="10" defaultRowHeight="15" x14ac:dyDescent="0.25"/>
  <cols>
    <col min="2" max="5" width="15.7109375" customWidth="1"/>
  </cols>
  <sheetData>
    <row r="2" spans="3:5" x14ac:dyDescent="0.25">
      <c r="C2" s="6" t="s">
        <v>6</v>
      </c>
      <c r="D2" s="6"/>
      <c r="E2" s="6"/>
    </row>
    <row r="3" spans="3:5" x14ac:dyDescent="0.25">
      <c r="C3" s="4" t="s">
        <v>3</v>
      </c>
      <c r="D3" s="4" t="s">
        <v>4</v>
      </c>
      <c r="E3" s="4" t="s">
        <v>5</v>
      </c>
    </row>
    <row r="4" spans="3:5" x14ac:dyDescent="0.25">
      <c r="C4" s="5">
        <v>147.80600000000001</v>
      </c>
      <c r="D4" s="5">
        <v>343.95499999999998</v>
      </c>
      <c r="E4" s="5">
        <v>4174.3739999999998</v>
      </c>
    </row>
    <row r="5" spans="3:5" x14ac:dyDescent="0.25">
      <c r="C5" s="5">
        <v>147.51599999999999</v>
      </c>
      <c r="D5" s="5">
        <v>472.16699999999997</v>
      </c>
      <c r="E5" s="5">
        <v>8104.7420000000002</v>
      </c>
    </row>
    <row r="6" spans="3:5" x14ac:dyDescent="0.25">
      <c r="C6" s="5">
        <v>143.53299999999999</v>
      </c>
      <c r="D6" s="5">
        <v>419.13799999999998</v>
      </c>
      <c r="E6" s="5">
        <v>4421.1239999999998</v>
      </c>
    </row>
    <row r="7" spans="3:5" x14ac:dyDescent="0.25">
      <c r="C7" s="5">
        <v>144.25200000000001</v>
      </c>
      <c r="D7" s="5">
        <v>442.36200000000002</v>
      </c>
      <c r="E7" s="5">
        <v>5263.52</v>
      </c>
    </row>
    <row r="8" spans="3:5" x14ac:dyDescent="0.25">
      <c r="C8" s="5">
        <v>145.03700000000001</v>
      </c>
      <c r="D8" s="5">
        <v>445.42700000000002</v>
      </c>
      <c r="E8" s="5">
        <v>6301.2309999999998</v>
      </c>
    </row>
    <row r="9" spans="3:5" x14ac:dyDescent="0.25">
      <c r="C9" s="5">
        <v>153.35900000000001</v>
      </c>
      <c r="D9" s="5">
        <v>368.06599999999997</v>
      </c>
      <c r="E9" s="5">
        <v>5175.0140000000001</v>
      </c>
    </row>
    <row r="10" spans="3:5" x14ac:dyDescent="0.25">
      <c r="C10" s="5">
        <v>154.31100000000001</v>
      </c>
      <c r="D10" s="5">
        <v>398.74200000000002</v>
      </c>
      <c r="E10" s="5">
        <v>6396.357</v>
      </c>
    </row>
    <row r="11" spans="3:5" x14ac:dyDescent="0.25">
      <c r="C11" s="5">
        <v>152.46100000000001</v>
      </c>
      <c r="D11" s="5">
        <v>330.94600000000003</v>
      </c>
      <c r="E11" s="5">
        <v>5805.8029999999999</v>
      </c>
    </row>
    <row r="12" spans="3:5" x14ac:dyDescent="0.25">
      <c r="C12" s="5">
        <v>153.57900000000001</v>
      </c>
      <c r="D12" s="5">
        <v>404.57499999999999</v>
      </c>
      <c r="E12" s="5">
        <v>5645.7740000000003</v>
      </c>
    </row>
    <row r="13" spans="3:5" x14ac:dyDescent="0.25">
      <c r="C13" s="5">
        <v>151.06</v>
      </c>
      <c r="D13" s="5">
        <v>332.04500000000002</v>
      </c>
      <c r="E13" s="5">
        <v>6292.81</v>
      </c>
    </row>
    <row r="14" spans="3:5" x14ac:dyDescent="0.25">
      <c r="C14" s="5"/>
      <c r="D14" s="5">
        <v>373.74799999999999</v>
      </c>
      <c r="E14" s="5">
        <v>3853.9209999999998</v>
      </c>
    </row>
    <row r="15" spans="3:5" x14ac:dyDescent="0.25">
      <c r="C15" s="5"/>
      <c r="D15" s="5">
        <v>379.95299999999997</v>
      </c>
      <c r="E15" s="5">
        <v>4812.6469999999999</v>
      </c>
    </row>
    <row r="16" spans="3:5" x14ac:dyDescent="0.25">
      <c r="C16" s="5"/>
      <c r="D16" s="5">
        <v>348.83300000000003</v>
      </c>
      <c r="E16" s="5">
        <v>4148.1000000000004</v>
      </c>
    </row>
    <row r="17" spans="2:5" x14ac:dyDescent="0.25">
      <c r="C17" s="5"/>
      <c r="D17" s="5">
        <v>323.78899999999999</v>
      </c>
      <c r="E17" s="5">
        <v>4384.2659999999996</v>
      </c>
    </row>
    <row r="18" spans="2:5" x14ac:dyDescent="0.25">
      <c r="C18" s="5"/>
      <c r="D18" s="5">
        <v>288.55200000000002</v>
      </c>
      <c r="E18" s="5">
        <v>5395.1319999999996</v>
      </c>
    </row>
    <row r="19" spans="2:5" x14ac:dyDescent="0.25">
      <c r="C19" s="5"/>
      <c r="D19" s="5">
        <v>341.85500000000002</v>
      </c>
      <c r="E19" s="5">
        <v>5591.0780000000004</v>
      </c>
    </row>
    <row r="20" spans="2:5" x14ac:dyDescent="0.25">
      <c r="C20" s="5"/>
      <c r="D20" s="5">
        <v>357.99900000000002</v>
      </c>
      <c r="E20" s="5">
        <v>3326.596</v>
      </c>
    </row>
    <row r="21" spans="2:5" x14ac:dyDescent="0.25">
      <c r="C21" s="5"/>
      <c r="D21" s="5">
        <v>464.12099999999998</v>
      </c>
      <c r="E21" s="5">
        <v>7147.2190000000001</v>
      </c>
    </row>
    <row r="22" spans="2:5" x14ac:dyDescent="0.25">
      <c r="C22" s="5"/>
      <c r="D22" s="5">
        <v>350.93</v>
      </c>
      <c r="E22" s="5">
        <v>4392.3339999999998</v>
      </c>
    </row>
    <row r="23" spans="2:5" x14ac:dyDescent="0.25">
      <c r="C23" s="5"/>
      <c r="D23" s="5">
        <v>407.428</v>
      </c>
      <c r="E23" s="5">
        <v>6440.8190000000004</v>
      </c>
    </row>
    <row r="24" spans="2:5" x14ac:dyDescent="0.25">
      <c r="B24" s="3" t="s">
        <v>0</v>
      </c>
      <c r="C24" s="2">
        <f>AVERAGE(C4:C23)</f>
        <v>149.29140000000001</v>
      </c>
      <c r="D24" s="2">
        <f t="shared" ref="D24:E24" si="0">AVERAGE(D4:D23)</f>
        <v>379.73154999999991</v>
      </c>
      <c r="E24" s="2">
        <f t="shared" si="0"/>
        <v>5353.6430500000006</v>
      </c>
    </row>
    <row r="25" spans="2:5" x14ac:dyDescent="0.25">
      <c r="B25" s="3" t="s">
        <v>1</v>
      </c>
      <c r="C25" s="2">
        <f>STDEV(C4:C23)/SQRT(C26)</f>
        <v>1.3136576520032415</v>
      </c>
      <c r="D25" s="2">
        <f t="shared" ref="D25:E25" si="1">STDEV(D4:D23)/SQRT(D26)</f>
        <v>11.29081066584574</v>
      </c>
      <c r="E25" s="2">
        <f t="shared" si="1"/>
        <v>268.77259416186251</v>
      </c>
    </row>
    <row r="26" spans="2:5" x14ac:dyDescent="0.25">
      <c r="B26" s="3" t="s">
        <v>2</v>
      </c>
      <c r="C26" s="1">
        <f>COUNT(C4:C23)</f>
        <v>10</v>
      </c>
      <c r="D26" s="1">
        <f t="shared" ref="D26:E26" si="2">COUNT(D4:D23)</f>
        <v>20</v>
      </c>
      <c r="E26" s="1">
        <f t="shared" si="2"/>
        <v>20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2025-11-14T14:58:50Z</dcterms:modified>
</cp:coreProperties>
</file>