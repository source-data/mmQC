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4\Figure 4C\"/>
    </mc:Choice>
  </mc:AlternateContent>
  <xr:revisionPtr revIDLastSave="0" documentId="13_ncr:1_{7F585B39-A424-4D92-9882-1F09A0CF4666}" xr6:coauthVersionLast="47" xr6:coauthVersionMax="47" xr10:uidLastSave="{00000000-0000-0000-0000-000000000000}"/>
  <bookViews>
    <workbookView xWindow="-120" yWindow="-120" windowWidth="38640" windowHeight="21120" xr2:uid="{96A8D04B-DDFE-4F9A-925F-24450E4CF9A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4" i="1" l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</calcChain>
</file>

<file path=xl/sharedStrings.xml><?xml version="1.0" encoding="utf-8"?>
<sst xmlns="http://schemas.openxmlformats.org/spreadsheetml/2006/main" count="9" uniqueCount="9">
  <si>
    <t>Background</t>
  </si>
  <si>
    <t>PacL1</t>
  </si>
  <si>
    <t>PacL1+Zn</t>
  </si>
  <si>
    <t>PacL1+Cd</t>
  </si>
  <si>
    <t>PacL1+Zn+Cd</t>
  </si>
  <si>
    <t>Average</t>
  </si>
  <si>
    <t>SEM</t>
  </si>
  <si>
    <t>n</t>
  </si>
  <si>
    <t>Fluorescence intensity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</si>
</sst>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BD1A-4945-4FF4-A6C6-3822CCD18190}">
  <dimension ref="B2:G26"/>
  <sheetViews>
    <sheetView tabSelected="1" workbookViewId="0">
      <selection activeCell="L9" sqref="L9"/>
    </sheetView>
  </sheetViews>
  <sheetFormatPr baseColWidth="10" defaultRowHeight="15" x14ac:dyDescent="0.25"/>
  <cols>
    <col min="2" max="7" width="15.7109375" customWidth="1"/>
  </cols>
  <sheetData>
    <row r="2" spans="3:7" x14ac:dyDescent="0.25">
      <c r="C2" s="5" t="s">
        <v>8</v>
      </c>
      <c r="D2" s="5"/>
      <c r="E2" s="5"/>
      <c r="F2" s="5"/>
      <c r="G2" s="5"/>
    </row>
    <row r="3" spans="3:7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3:7" x14ac:dyDescent="0.25">
      <c r="C4" s="3">
        <v>142</v>
      </c>
      <c r="D4" s="3">
        <v>20698</v>
      </c>
      <c r="E4" s="3">
        <v>22397</v>
      </c>
      <c r="F4" s="3">
        <v>11266</v>
      </c>
      <c r="G4" s="3">
        <v>18896</v>
      </c>
    </row>
    <row r="5" spans="3:7" x14ac:dyDescent="0.25">
      <c r="C5" s="3">
        <v>128</v>
      </c>
      <c r="D5" s="3">
        <v>23160</v>
      </c>
      <c r="E5" s="3">
        <v>15472</v>
      </c>
      <c r="F5" s="3">
        <v>16866</v>
      </c>
      <c r="G5" s="3">
        <v>18654</v>
      </c>
    </row>
    <row r="6" spans="3:7" x14ac:dyDescent="0.25">
      <c r="C6" s="3">
        <v>132</v>
      </c>
      <c r="D6" s="3">
        <v>10843</v>
      </c>
      <c r="E6" s="3">
        <v>8719</v>
      </c>
      <c r="F6" s="3">
        <v>16717</v>
      </c>
      <c r="G6" s="3">
        <v>14822</v>
      </c>
    </row>
    <row r="7" spans="3:7" x14ac:dyDescent="0.25">
      <c r="C7" s="3">
        <v>319</v>
      </c>
      <c r="D7" s="3">
        <v>16444</v>
      </c>
      <c r="E7" s="3">
        <v>16300</v>
      </c>
      <c r="F7" s="3">
        <v>8554</v>
      </c>
      <c r="G7" s="3">
        <v>26514</v>
      </c>
    </row>
    <row r="8" spans="3:7" x14ac:dyDescent="0.25">
      <c r="C8" s="3">
        <v>130</v>
      </c>
      <c r="D8" s="3">
        <v>8215</v>
      </c>
      <c r="E8" s="3">
        <v>25659</v>
      </c>
      <c r="F8" s="3">
        <v>8988</v>
      </c>
      <c r="G8" s="3">
        <v>20712</v>
      </c>
    </row>
    <row r="9" spans="3:7" x14ac:dyDescent="0.25">
      <c r="C9" s="3">
        <v>219</v>
      </c>
      <c r="D9" s="3">
        <v>7587</v>
      </c>
      <c r="E9" s="3">
        <v>22336</v>
      </c>
      <c r="F9" s="3">
        <v>18665</v>
      </c>
      <c r="G9" s="3">
        <v>21796</v>
      </c>
    </row>
    <row r="10" spans="3:7" x14ac:dyDescent="0.25">
      <c r="C10" s="3">
        <v>122</v>
      </c>
      <c r="D10" s="3">
        <v>8712</v>
      </c>
      <c r="E10" s="3">
        <v>22055</v>
      </c>
      <c r="F10" s="3">
        <v>13352</v>
      </c>
      <c r="G10" s="3">
        <v>18565</v>
      </c>
    </row>
    <row r="11" spans="3:7" x14ac:dyDescent="0.25">
      <c r="C11" s="3">
        <v>181</v>
      </c>
      <c r="D11" s="3">
        <v>6940</v>
      </c>
      <c r="E11" s="3">
        <v>24427</v>
      </c>
      <c r="F11" s="3">
        <v>10473</v>
      </c>
      <c r="G11" s="3">
        <v>27683</v>
      </c>
    </row>
    <row r="12" spans="3:7" x14ac:dyDescent="0.25">
      <c r="C12" s="3">
        <v>157</v>
      </c>
      <c r="D12" s="3">
        <v>11824</v>
      </c>
      <c r="E12" s="3">
        <v>22040</v>
      </c>
      <c r="F12" s="3">
        <v>28401</v>
      </c>
      <c r="G12" s="3">
        <v>19836</v>
      </c>
    </row>
    <row r="13" spans="3:7" x14ac:dyDescent="0.25">
      <c r="C13" s="3">
        <v>174</v>
      </c>
      <c r="D13" s="3">
        <v>9039</v>
      </c>
      <c r="E13" s="3">
        <v>24948</v>
      </c>
      <c r="F13" s="3">
        <v>28924</v>
      </c>
      <c r="G13" s="3">
        <v>25957</v>
      </c>
    </row>
    <row r="14" spans="3:7" x14ac:dyDescent="0.25">
      <c r="C14" s="3">
        <v>154</v>
      </c>
      <c r="D14" s="3">
        <v>9994</v>
      </c>
      <c r="E14" s="3">
        <v>19031</v>
      </c>
      <c r="F14" s="3">
        <v>8836</v>
      </c>
      <c r="G14" s="3">
        <v>22541</v>
      </c>
    </row>
    <row r="15" spans="3:7" x14ac:dyDescent="0.25">
      <c r="C15" s="3">
        <v>133</v>
      </c>
      <c r="D15" s="3">
        <v>14245</v>
      </c>
      <c r="E15" s="3">
        <v>29080</v>
      </c>
      <c r="F15" s="3">
        <v>16914</v>
      </c>
      <c r="G15" s="3">
        <v>15685</v>
      </c>
    </row>
    <row r="16" spans="3:7" x14ac:dyDescent="0.25">
      <c r="C16" s="3">
        <v>188</v>
      </c>
      <c r="D16" s="3">
        <v>9432</v>
      </c>
      <c r="E16" s="3">
        <v>22224</v>
      </c>
      <c r="F16" s="3">
        <v>15967</v>
      </c>
      <c r="G16" s="3">
        <v>32373</v>
      </c>
    </row>
    <row r="17" spans="2:7" x14ac:dyDescent="0.25">
      <c r="C17" s="3">
        <v>306</v>
      </c>
      <c r="D17" s="3">
        <v>13553</v>
      </c>
      <c r="E17" s="3">
        <v>21679</v>
      </c>
      <c r="F17" s="3">
        <v>7651</v>
      </c>
      <c r="G17" s="3">
        <v>21930</v>
      </c>
    </row>
    <row r="18" spans="2:7" x14ac:dyDescent="0.25">
      <c r="C18" s="3">
        <v>173</v>
      </c>
      <c r="D18" s="3">
        <v>14768</v>
      </c>
      <c r="E18" s="3">
        <v>18565</v>
      </c>
      <c r="F18" s="3">
        <v>12173</v>
      </c>
      <c r="G18" s="3">
        <v>12463</v>
      </c>
    </row>
    <row r="19" spans="2:7" x14ac:dyDescent="0.25">
      <c r="C19" s="3">
        <v>203</v>
      </c>
      <c r="D19" s="3">
        <v>11033</v>
      </c>
      <c r="E19" s="3">
        <v>19836</v>
      </c>
      <c r="F19" s="3">
        <v>23932</v>
      </c>
      <c r="G19" s="3">
        <v>17446</v>
      </c>
    </row>
    <row r="20" spans="2:7" x14ac:dyDescent="0.25">
      <c r="C20" s="3">
        <v>119</v>
      </c>
      <c r="D20" s="3">
        <v>11873</v>
      </c>
      <c r="E20" s="3">
        <v>30081</v>
      </c>
      <c r="F20" s="3">
        <v>13644</v>
      </c>
      <c r="G20" s="3">
        <v>23507</v>
      </c>
    </row>
    <row r="21" spans="2:7" x14ac:dyDescent="0.25">
      <c r="C21" s="3">
        <v>179</v>
      </c>
      <c r="D21" s="3">
        <v>5505</v>
      </c>
      <c r="E21" s="3">
        <v>22818</v>
      </c>
      <c r="F21" s="3">
        <v>13260</v>
      </c>
      <c r="G21" s="3">
        <v>20532</v>
      </c>
    </row>
    <row r="22" spans="2:7" x14ac:dyDescent="0.25">
      <c r="C22" s="3">
        <v>134</v>
      </c>
      <c r="D22" s="3">
        <v>6888</v>
      </c>
      <c r="E22" s="3">
        <v>35909</v>
      </c>
      <c r="F22" s="3">
        <v>16055</v>
      </c>
      <c r="G22" s="3">
        <v>12078</v>
      </c>
    </row>
    <row r="23" spans="2:7" x14ac:dyDescent="0.25">
      <c r="C23" s="3">
        <v>201</v>
      </c>
      <c r="D23" s="3">
        <v>12293</v>
      </c>
      <c r="E23" s="3">
        <v>30248</v>
      </c>
      <c r="F23" s="3">
        <v>18722</v>
      </c>
      <c r="G23" s="3">
        <v>14805</v>
      </c>
    </row>
    <row r="24" spans="2:7" x14ac:dyDescent="0.25">
      <c r="B24" s="1" t="s">
        <v>5</v>
      </c>
      <c r="C24" s="4">
        <f>AVERAGE(C4:C23)</f>
        <v>174.7</v>
      </c>
      <c r="D24" s="4">
        <f>AVERAGE(D4:D23)</f>
        <v>11652.3</v>
      </c>
      <c r="E24" s="4">
        <f t="shared" ref="E24:G24" si="0">AVERAGE(E4:E23)</f>
        <v>22691.200000000001</v>
      </c>
      <c r="F24" s="4">
        <f t="shared" si="0"/>
        <v>15468</v>
      </c>
      <c r="G24" s="4">
        <f t="shared" si="0"/>
        <v>20339.75</v>
      </c>
    </row>
    <row r="25" spans="2:7" x14ac:dyDescent="0.25">
      <c r="B25" s="1" t="s">
        <v>6</v>
      </c>
      <c r="C25" s="4">
        <f>STDEV(C4:C23)/SQRT(C26)</f>
        <v>12.444000879730631</v>
      </c>
      <c r="D25" s="4">
        <f t="shared" ref="D25:G25" si="1">STDEV(D4:D23)/SQRT(D26)</f>
        <v>1016.924507108514</v>
      </c>
      <c r="E25" s="4">
        <f t="shared" si="1"/>
        <v>1331.0237543848884</v>
      </c>
      <c r="F25" s="4">
        <f t="shared" si="1"/>
        <v>1364.9756080334607</v>
      </c>
      <c r="G25" s="4">
        <f t="shared" si="1"/>
        <v>1167.3724789480275</v>
      </c>
    </row>
    <row r="26" spans="2:7" x14ac:dyDescent="0.25">
      <c r="B26" s="1" t="s">
        <v>7</v>
      </c>
      <c r="C26" s="4">
        <f>COUNT(C4:C23)</f>
        <v>20</v>
      </c>
      <c r="D26" s="4">
        <f t="shared" ref="D26:G26" si="2">COUNT(D4:D23)</f>
        <v>20</v>
      </c>
      <c r="E26" s="4">
        <f t="shared" si="2"/>
        <v>20</v>
      </c>
      <c r="F26" s="4">
        <f t="shared" si="2"/>
        <v>20</v>
      </c>
      <c r="G26" s="4">
        <f t="shared" si="2"/>
        <v>20</v>
      </c>
    </row>
  </sheetData>
  <mergeCells count="1"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2025-11-06T15:20:11Z</dcterms:created>
  <dcterms:modified xsi:type="dcterms:W3CDTF">2025-11-14T14:53:43Z</dcterms:modified>
</cp:coreProperties>
</file>