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4\Figure 4H\"/>
    </mc:Choice>
  </mc:AlternateContent>
  <xr:revisionPtr revIDLastSave="0" documentId="13_ncr:1_{9E7E3075-8BD5-4491-BB27-627619F7515E}" xr6:coauthVersionLast="47" xr6:coauthVersionMax="47" xr10:uidLastSave="{00000000-0000-0000-0000-000000000000}"/>
  <bookViews>
    <workbookView xWindow="7470" yWindow="11610" windowWidth="15855" windowHeight="9825" xr2:uid="{9271E808-F557-4A78-B3DE-BEB55BE7ED8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" i="1" l="1"/>
  <c r="E14" i="1"/>
  <c r="F14" i="1"/>
  <c r="D16" i="1"/>
  <c r="D15" i="1" s="1"/>
  <c r="E16" i="1"/>
  <c r="E15" i="1" s="1"/>
  <c r="F16" i="1"/>
  <c r="F15" i="1" s="1"/>
  <c r="C16" i="1"/>
  <c r="C15" i="1" s="1"/>
  <c r="C14" i="1"/>
</calcChain>
</file>

<file path=xl/sharedStrings.xml><?xml version="1.0" encoding="utf-8"?>
<sst xmlns="http://schemas.openxmlformats.org/spreadsheetml/2006/main" count="8" uniqueCount="8">
  <si>
    <t>Average</t>
  </si>
  <si>
    <t>SEM</t>
  </si>
  <si>
    <t>n</t>
  </si>
  <si>
    <t>Control</t>
  </si>
  <si>
    <t>PacL1/CtpV</t>
  </si>
  <si>
    <t>PacL2/CtpV</t>
  </si>
  <si>
    <t>PacL3/CtpV</t>
  </si>
  <si>
    <t>GFP+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</si>
</sst>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C268-4A4B-4FF6-BC03-7AA8DABB9965}">
  <dimension ref="B2:F16"/>
  <sheetViews>
    <sheetView tabSelected="1" workbookViewId="0">
      <selection activeCell="H6" sqref="H6"/>
    </sheetView>
  </sheetViews>
  <sheetFormatPr baseColWidth="10" defaultRowHeight="15" x14ac:dyDescent="0.25"/>
  <cols>
    <col min="2" max="6" width="15.7109375" customWidth="1"/>
  </cols>
  <sheetData>
    <row r="2" spans="2:6" x14ac:dyDescent="0.25">
      <c r="C2" s="6" t="s">
        <v>7</v>
      </c>
      <c r="D2" s="6"/>
      <c r="E2" s="6"/>
      <c r="F2" s="6"/>
    </row>
    <row r="3" spans="2:6" x14ac:dyDescent="0.25">
      <c r="C3" s="4" t="s">
        <v>3</v>
      </c>
      <c r="D3" s="4" t="s">
        <v>4</v>
      </c>
      <c r="E3" s="4" t="s">
        <v>5</v>
      </c>
      <c r="F3" s="4" t="s">
        <v>6</v>
      </c>
    </row>
    <row r="4" spans="2:6" x14ac:dyDescent="0.25">
      <c r="C4" s="3">
        <v>1.1299999999999999</v>
      </c>
      <c r="D4" s="3">
        <v>40.5</v>
      </c>
      <c r="E4" s="3">
        <v>7.92</v>
      </c>
      <c r="F4" s="3">
        <v>35.200000000000003</v>
      </c>
    </row>
    <row r="5" spans="2:6" x14ac:dyDescent="0.25">
      <c r="C5" s="3">
        <v>1.2</v>
      </c>
      <c r="D5" s="3">
        <v>40.700000000000003</v>
      </c>
      <c r="E5" s="3">
        <v>38.299999999999997</v>
      </c>
      <c r="F5" s="3">
        <v>55.7</v>
      </c>
    </row>
    <row r="6" spans="2:6" x14ac:dyDescent="0.25">
      <c r="C6" s="3">
        <v>0.85</v>
      </c>
      <c r="D6" s="3">
        <v>41.7</v>
      </c>
      <c r="E6" s="3">
        <v>37</v>
      </c>
      <c r="F6" s="3">
        <v>63.6</v>
      </c>
    </row>
    <row r="7" spans="2:6" x14ac:dyDescent="0.25">
      <c r="C7" s="3">
        <v>0.57999999999999996</v>
      </c>
      <c r="D7" s="3">
        <v>43.8</v>
      </c>
      <c r="E7" s="3">
        <v>33.299999999999997</v>
      </c>
      <c r="F7" s="3">
        <v>62.6</v>
      </c>
    </row>
    <row r="8" spans="2:6" x14ac:dyDescent="0.25">
      <c r="C8" s="3">
        <v>0.44</v>
      </c>
      <c r="D8" s="3">
        <v>44.6</v>
      </c>
      <c r="E8" s="3">
        <v>21.5</v>
      </c>
      <c r="F8" s="3">
        <v>45.2</v>
      </c>
    </row>
    <row r="9" spans="2:6" x14ac:dyDescent="0.25">
      <c r="C9" s="3">
        <v>0.4</v>
      </c>
      <c r="D9" s="3">
        <v>46.8</v>
      </c>
      <c r="E9" s="3">
        <v>22</v>
      </c>
      <c r="F9" s="3">
        <v>39.5</v>
      </c>
    </row>
    <row r="10" spans="2:6" x14ac:dyDescent="0.25">
      <c r="C10" s="3">
        <v>0.32</v>
      </c>
      <c r="D10" s="3">
        <v>31.2</v>
      </c>
      <c r="E10" s="3">
        <v>21.4</v>
      </c>
      <c r="F10" s="3">
        <v>39.200000000000003</v>
      </c>
    </row>
    <row r="11" spans="2:6" x14ac:dyDescent="0.25">
      <c r="C11" s="3">
        <v>0.31</v>
      </c>
      <c r="D11" s="3">
        <v>29.3</v>
      </c>
      <c r="E11" s="3"/>
      <c r="F11" s="3"/>
    </row>
    <row r="12" spans="2:6" x14ac:dyDescent="0.25">
      <c r="C12" s="3">
        <v>0.16</v>
      </c>
      <c r="D12" s="3">
        <v>28.9</v>
      </c>
      <c r="E12" s="3"/>
      <c r="F12" s="3"/>
    </row>
    <row r="13" spans="2:6" x14ac:dyDescent="0.25">
      <c r="C13" s="3">
        <v>0.31</v>
      </c>
      <c r="D13" s="3"/>
      <c r="E13" s="3"/>
      <c r="F13" s="3"/>
    </row>
    <row r="14" spans="2:6" x14ac:dyDescent="0.25">
      <c r="B14" s="5" t="s">
        <v>0</v>
      </c>
      <c r="C14" s="2">
        <f>AVERAGE(C4:C13)</f>
        <v>0.57000000000000006</v>
      </c>
      <c r="D14" s="2">
        <f t="shared" ref="D14:F14" si="0">AVERAGE(D4:D13)</f>
        <v>38.611111111111107</v>
      </c>
      <c r="E14" s="2">
        <f t="shared" si="0"/>
        <v>25.917142857142856</v>
      </c>
      <c r="F14" s="2">
        <f t="shared" si="0"/>
        <v>48.714285714285715</v>
      </c>
    </row>
    <row r="15" spans="2:6" x14ac:dyDescent="0.25">
      <c r="B15" s="5" t="s">
        <v>1</v>
      </c>
      <c r="C15" s="2">
        <f>STDEV(C4:C13)/SQRT(C16)</f>
        <v>0.11549891774384724</v>
      </c>
      <c r="D15" s="2">
        <f t="shared" ref="D15:F15" si="1">STDEV(D4:D13)/SQRT(D16)</f>
        <v>2.3071413555670972</v>
      </c>
      <c r="E15" s="2">
        <f t="shared" si="1"/>
        <v>4.1110430343079569</v>
      </c>
      <c r="F15" s="2">
        <f t="shared" si="1"/>
        <v>4.4550895758953954</v>
      </c>
    </row>
    <row r="16" spans="2:6" x14ac:dyDescent="0.25">
      <c r="B16" s="5" t="s">
        <v>2</v>
      </c>
      <c r="C16" s="1">
        <f>COUNT(C4:C13)</f>
        <v>10</v>
      </c>
      <c r="D16" s="1">
        <f t="shared" ref="D16:F16" si="2">COUNT(D4:D13)</f>
        <v>9</v>
      </c>
      <c r="E16" s="1">
        <f t="shared" si="2"/>
        <v>7</v>
      </c>
      <c r="F16" s="1">
        <f t="shared" si="2"/>
        <v>7</v>
      </c>
    </row>
  </sheetData>
  <mergeCells count="1">
    <mergeCell ref="C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2025-11-06T16:04:41Z</dcterms:created>
  <dcterms:modified xsi:type="dcterms:W3CDTF">2025-11-14T14:57:45Z</dcterms:modified>
</cp:coreProperties>
</file>