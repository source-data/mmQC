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4\Figure 4F\"/>
    </mc:Choice>
  </mc:AlternateContent>
  <xr:revisionPtr revIDLastSave="0" documentId="13_ncr:1_{FB6686C2-BA83-4B40-8DFD-1775ED0E1AC2}" xr6:coauthVersionLast="47" xr6:coauthVersionMax="47" xr10:uidLastSave="{00000000-0000-0000-0000-000000000000}"/>
  <bookViews>
    <workbookView xWindow="-120" yWindow="-120" windowWidth="38640" windowHeight="21120" xr2:uid="{9271E808-F557-4A78-B3DE-BEB55BE7E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" i="1" l="1"/>
  <c r="E20" i="1"/>
  <c r="F20" i="1"/>
  <c r="G20" i="1"/>
  <c r="D22" i="1"/>
  <c r="D21" i="1" s="1"/>
  <c r="E22" i="1"/>
  <c r="E21" i="1" s="1"/>
  <c r="F22" i="1"/>
  <c r="F21" i="1" s="1"/>
  <c r="G22" i="1"/>
  <c r="G21" i="1" s="1"/>
  <c r="C22" i="1"/>
  <c r="C21" i="1"/>
  <c r="C20" i="1"/>
</calcChain>
</file>

<file path=xl/sharedStrings.xml><?xml version="1.0" encoding="utf-8"?>
<sst xmlns="http://schemas.openxmlformats.org/spreadsheetml/2006/main" count="9" uniqueCount="9">
  <si>
    <t>Average</t>
  </si>
  <si>
    <t>SEM</t>
  </si>
  <si>
    <t>n</t>
  </si>
  <si>
    <t>Control</t>
  </si>
  <si>
    <t>PacL1/CtpG</t>
  </si>
  <si>
    <t>PacL2/CtpG</t>
  </si>
  <si>
    <t>PacL3/CtpG</t>
  </si>
  <si>
    <t>PacL1/CtpA</t>
  </si>
  <si>
    <t>GFP+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</si>
</sst>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C268-4A4B-4FF6-BC03-7AA8DABB9965}">
  <dimension ref="B2:G22"/>
  <sheetViews>
    <sheetView tabSelected="1" workbookViewId="0">
      <selection activeCell="D8" sqref="D8"/>
    </sheetView>
  </sheetViews>
  <sheetFormatPr baseColWidth="10" defaultRowHeight="15" x14ac:dyDescent="0.25"/>
  <cols>
    <col min="2" max="6" width="15.7109375" customWidth="1"/>
  </cols>
  <sheetData>
    <row r="2" spans="3:7" x14ac:dyDescent="0.25">
      <c r="C2" s="6" t="s">
        <v>8</v>
      </c>
      <c r="D2" s="6"/>
      <c r="E2" s="6"/>
      <c r="F2" s="6"/>
      <c r="G2" s="6"/>
    </row>
    <row r="3" spans="3:7" x14ac:dyDescent="0.25"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3:7" x14ac:dyDescent="0.25">
      <c r="C4" s="3">
        <v>0.04</v>
      </c>
      <c r="D4" s="3">
        <v>98.7</v>
      </c>
      <c r="E4" s="3">
        <v>86.7</v>
      </c>
      <c r="F4" s="3">
        <v>70.7</v>
      </c>
      <c r="G4" s="3">
        <v>0.54</v>
      </c>
    </row>
    <row r="5" spans="3:7" x14ac:dyDescent="0.25">
      <c r="C5" s="3">
        <v>1.1299999999999999</v>
      </c>
      <c r="D5" s="3">
        <v>94.9</v>
      </c>
      <c r="E5" s="3">
        <v>98.7</v>
      </c>
      <c r="F5" s="3">
        <v>71.099999999999994</v>
      </c>
      <c r="G5" s="3">
        <v>0.45</v>
      </c>
    </row>
    <row r="6" spans="3:7" x14ac:dyDescent="0.25">
      <c r="C6" s="3">
        <v>1.2</v>
      </c>
      <c r="D6" s="3">
        <v>94.4</v>
      </c>
      <c r="E6" s="3">
        <v>98.7</v>
      </c>
      <c r="F6" s="3">
        <v>72.7</v>
      </c>
      <c r="G6" s="3">
        <v>0.42</v>
      </c>
    </row>
    <row r="7" spans="3:7" x14ac:dyDescent="0.25">
      <c r="C7" s="3">
        <v>0.85</v>
      </c>
      <c r="D7" s="3">
        <v>94.2</v>
      </c>
      <c r="E7" s="3">
        <v>98.6</v>
      </c>
      <c r="F7" s="3">
        <v>73.599999999999994</v>
      </c>
      <c r="G7" s="3"/>
    </row>
    <row r="8" spans="3:7" x14ac:dyDescent="0.25">
      <c r="C8" s="3">
        <v>0.57999999999999996</v>
      </c>
      <c r="D8" s="3"/>
      <c r="E8" s="3">
        <v>98.9</v>
      </c>
      <c r="F8" s="3">
        <v>61.2</v>
      </c>
      <c r="G8" s="3"/>
    </row>
    <row r="9" spans="3:7" x14ac:dyDescent="0.25">
      <c r="C9" s="3">
        <v>0.23</v>
      </c>
      <c r="D9" s="3"/>
      <c r="E9" s="3">
        <v>99.1</v>
      </c>
      <c r="F9" s="3">
        <v>60.9</v>
      </c>
      <c r="G9" s="3"/>
    </row>
    <row r="10" spans="3:7" x14ac:dyDescent="0.25">
      <c r="C10" s="3">
        <v>0.15</v>
      </c>
      <c r="D10" s="3"/>
      <c r="E10" s="3">
        <v>95.3</v>
      </c>
      <c r="F10" s="3">
        <v>60.8</v>
      </c>
      <c r="G10" s="3"/>
    </row>
    <row r="11" spans="3:7" x14ac:dyDescent="0.25">
      <c r="C11" s="3">
        <v>7.0000000000000007E-2</v>
      </c>
      <c r="D11" s="3"/>
      <c r="E11" s="3">
        <v>95.4</v>
      </c>
      <c r="F11" s="3"/>
      <c r="G11" s="3"/>
    </row>
    <row r="12" spans="3:7" x14ac:dyDescent="0.25">
      <c r="C12" s="3">
        <v>0.25</v>
      </c>
      <c r="D12" s="3"/>
      <c r="E12" s="3">
        <v>95.1</v>
      </c>
      <c r="F12" s="3"/>
      <c r="G12" s="3"/>
    </row>
    <row r="13" spans="3:7" x14ac:dyDescent="0.25">
      <c r="C13" s="3">
        <v>0.25</v>
      </c>
      <c r="D13" s="3"/>
      <c r="E13" s="3">
        <v>96.3</v>
      </c>
      <c r="F13" s="3"/>
      <c r="G13" s="3"/>
    </row>
    <row r="14" spans="3:7" x14ac:dyDescent="0.25">
      <c r="C14" s="3">
        <v>0.44</v>
      </c>
      <c r="D14" s="3"/>
      <c r="E14" s="3">
        <v>97.1</v>
      </c>
      <c r="F14" s="3"/>
      <c r="G14" s="3"/>
    </row>
    <row r="15" spans="3:7" x14ac:dyDescent="0.25">
      <c r="C15" s="3">
        <v>0.4</v>
      </c>
      <c r="D15" s="3"/>
      <c r="E15" s="3">
        <v>95.7</v>
      </c>
      <c r="F15" s="3"/>
      <c r="G15" s="3"/>
    </row>
    <row r="16" spans="3:7" x14ac:dyDescent="0.25">
      <c r="C16" s="3">
        <v>0.32</v>
      </c>
      <c r="D16" s="3"/>
      <c r="E16" s="3"/>
      <c r="F16" s="3"/>
      <c r="G16" s="3"/>
    </row>
    <row r="17" spans="2:7" x14ac:dyDescent="0.25">
      <c r="C17" s="3">
        <v>0.31</v>
      </c>
      <c r="D17" s="3"/>
      <c r="E17" s="3"/>
      <c r="F17" s="3"/>
      <c r="G17" s="3"/>
    </row>
    <row r="18" spans="2:7" x14ac:dyDescent="0.25">
      <c r="C18" s="3">
        <v>0.16</v>
      </c>
      <c r="D18" s="3"/>
      <c r="E18" s="3"/>
      <c r="F18" s="3"/>
      <c r="G18" s="3"/>
    </row>
    <row r="19" spans="2:7" x14ac:dyDescent="0.25">
      <c r="C19" s="3">
        <v>0.31</v>
      </c>
      <c r="D19" s="3"/>
      <c r="E19" s="3"/>
      <c r="F19" s="3"/>
      <c r="G19" s="3"/>
    </row>
    <row r="20" spans="2:7" x14ac:dyDescent="0.25">
      <c r="B20" s="5" t="s">
        <v>0</v>
      </c>
      <c r="C20" s="2">
        <f>AVERAGE(C4:C19)</f>
        <v>0.41812500000000008</v>
      </c>
      <c r="D20" s="2">
        <f t="shared" ref="D20:G20" si="0">AVERAGE(D4:D19)</f>
        <v>95.55</v>
      </c>
      <c r="E20" s="2">
        <f t="shared" si="0"/>
        <v>96.3</v>
      </c>
      <c r="F20" s="2">
        <f t="shared" si="0"/>
        <v>67.285714285714292</v>
      </c>
      <c r="G20" s="2">
        <f t="shared" si="0"/>
        <v>0.47</v>
      </c>
    </row>
    <row r="21" spans="2:7" x14ac:dyDescent="0.25">
      <c r="B21" s="5" t="s">
        <v>1</v>
      </c>
      <c r="C21" s="2">
        <f>STDEV(C4:C19)/SQRT(C22)</f>
        <v>8.801618577473877E-2</v>
      </c>
      <c r="D21" s="2">
        <f t="shared" ref="D21:G21" si="1">STDEV(D4:D19)/SQRT(D22)</f>
        <v>1.0602672619045943</v>
      </c>
      <c r="E21" s="2">
        <f t="shared" si="1"/>
        <v>0.98403929460836737</v>
      </c>
      <c r="F21" s="2">
        <f t="shared" si="1"/>
        <v>2.2639439429612094</v>
      </c>
      <c r="G21" s="2">
        <f t="shared" si="1"/>
        <v>3.605551275463996E-2</v>
      </c>
    </row>
    <row r="22" spans="2:7" x14ac:dyDescent="0.25">
      <c r="B22" s="5" t="s">
        <v>2</v>
      </c>
      <c r="C22" s="1">
        <f>COUNT(C4:C19)</f>
        <v>16</v>
      </c>
      <c r="D22" s="1">
        <f t="shared" ref="D22:G22" si="2">COUNT(D4:D19)</f>
        <v>4</v>
      </c>
      <c r="E22" s="1">
        <f t="shared" si="2"/>
        <v>12</v>
      </c>
      <c r="F22" s="1">
        <f t="shared" si="2"/>
        <v>7</v>
      </c>
      <c r="G22" s="1">
        <f t="shared" si="2"/>
        <v>3</v>
      </c>
    </row>
  </sheetData>
  <mergeCells count="1"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2025-11-06T16:04:41Z</dcterms:created>
  <dcterms:modified xsi:type="dcterms:W3CDTF">2025-11-14T14:56:47Z</dcterms:modified>
</cp:coreProperties>
</file>