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7\Figure 7E\"/>
    </mc:Choice>
  </mc:AlternateContent>
  <xr:revisionPtr revIDLastSave="0" documentId="13_ncr:1_{F1149C39-5725-4450-8C1C-34A42A5DA688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1" l="1"/>
  <c r="E28" i="1"/>
  <c r="F28" i="1"/>
  <c r="G28" i="1"/>
  <c r="H28" i="1"/>
  <c r="I28" i="1"/>
  <c r="J28" i="1"/>
  <c r="D30" i="1"/>
  <c r="D29" i="1" s="1"/>
  <c r="E30" i="1"/>
  <c r="E29" i="1" s="1"/>
  <c r="F30" i="1"/>
  <c r="F29" i="1" s="1"/>
  <c r="G30" i="1"/>
  <c r="G29" i="1" s="1"/>
  <c r="H30" i="1"/>
  <c r="H29" i="1" s="1"/>
  <c r="I30" i="1"/>
  <c r="I29" i="1" s="1"/>
  <c r="J30" i="1"/>
  <c r="J29" i="1" s="1"/>
  <c r="C30" i="1"/>
  <c r="C29" i="1"/>
  <c r="C28" i="1"/>
</calcChain>
</file>

<file path=xl/sharedStrings.xml><?xml version="1.0" encoding="utf-8"?>
<sst xmlns="http://schemas.openxmlformats.org/spreadsheetml/2006/main" count="12" uniqueCount="12">
  <si>
    <t>Average</t>
  </si>
  <si>
    <t>SEM</t>
  </si>
  <si>
    <t>n</t>
  </si>
  <si>
    <t>Background +Cd</t>
  </si>
  <si>
    <t>WT +Cd</t>
  </si>
  <si>
    <t>G17L+G20L +Cd</t>
  </si>
  <si>
    <t>K9A +Cd</t>
  </si>
  <si>
    <t>Background -Cd</t>
  </si>
  <si>
    <t>WT -Cd</t>
  </si>
  <si>
    <t>G17L+G20L -Cd</t>
  </si>
  <si>
    <t>K9A -Cd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</si>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</sst>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J30"/>
  <sheetViews>
    <sheetView tabSelected="1" workbookViewId="0">
      <selection activeCell="D30" sqref="D30"/>
    </sheetView>
  </sheetViews>
  <sheetFormatPr baseColWidth="10" defaultRowHeight="15" x14ac:dyDescent="0.25"/>
  <cols>
    <col min="2" max="5" width="15.7109375" customWidth="1"/>
  </cols>
  <sheetData>
    <row r="2" spans="3:10" x14ac:dyDescent="0.25">
      <c r="C2" s="6" t="s">
        <v>11</v>
      </c>
      <c r="D2" s="6"/>
      <c r="E2" s="6"/>
      <c r="F2" s="6"/>
      <c r="G2" s="6"/>
      <c r="H2" s="6"/>
      <c r="I2" s="6"/>
      <c r="J2" s="6"/>
    </row>
    <row r="3" spans="3:10" x14ac:dyDescent="0.25">
      <c r="C3" s="4" t="s">
        <v>7</v>
      </c>
      <c r="D3" s="4" t="s">
        <v>8</v>
      </c>
      <c r="E3" s="4" t="s">
        <v>9</v>
      </c>
      <c r="F3" s="4" t="s">
        <v>10</v>
      </c>
      <c r="G3" s="4" t="s">
        <v>3</v>
      </c>
      <c r="H3" s="4" t="s">
        <v>4</v>
      </c>
      <c r="I3" s="4" t="s">
        <v>5</v>
      </c>
      <c r="J3" s="4" t="s">
        <v>6</v>
      </c>
    </row>
    <row r="4" spans="3:10" x14ac:dyDescent="0.25">
      <c r="C4" s="5">
        <v>169</v>
      </c>
      <c r="D4" s="5">
        <v>610</v>
      </c>
      <c r="E4" s="5">
        <v>422</v>
      </c>
      <c r="F4" s="5">
        <v>623</v>
      </c>
      <c r="G4" s="5">
        <v>174</v>
      </c>
      <c r="H4" s="5">
        <v>8457</v>
      </c>
      <c r="I4" s="5">
        <v>2917</v>
      </c>
      <c r="J4" s="5">
        <v>5102</v>
      </c>
    </row>
    <row r="5" spans="3:10" x14ac:dyDescent="0.25">
      <c r="C5" s="5">
        <v>171</v>
      </c>
      <c r="D5" s="5">
        <v>518</v>
      </c>
      <c r="E5" s="5">
        <v>512</v>
      </c>
      <c r="F5" s="5">
        <v>687</v>
      </c>
      <c r="G5" s="5">
        <v>185</v>
      </c>
      <c r="H5" s="5">
        <v>5263</v>
      </c>
      <c r="I5" s="5">
        <v>2987</v>
      </c>
      <c r="J5" s="5">
        <v>5565</v>
      </c>
    </row>
    <row r="6" spans="3:10" x14ac:dyDescent="0.25">
      <c r="C6" s="5">
        <v>175</v>
      </c>
      <c r="D6" s="5">
        <v>660</v>
      </c>
      <c r="E6" s="5">
        <v>507</v>
      </c>
      <c r="F6" s="5">
        <v>534</v>
      </c>
      <c r="G6" s="5">
        <v>183</v>
      </c>
      <c r="H6" s="5">
        <v>7387</v>
      </c>
      <c r="I6" s="5">
        <v>3211</v>
      </c>
      <c r="J6" s="5">
        <v>4867</v>
      </c>
    </row>
    <row r="7" spans="3:10" x14ac:dyDescent="0.25">
      <c r="C7" s="5">
        <v>185</v>
      </c>
      <c r="D7" s="5">
        <v>456</v>
      </c>
      <c r="E7" s="5">
        <v>460</v>
      </c>
      <c r="F7" s="5">
        <v>636</v>
      </c>
      <c r="G7" s="5">
        <v>178</v>
      </c>
      <c r="H7" s="5">
        <v>7632</v>
      </c>
      <c r="I7" s="5">
        <v>3048</v>
      </c>
      <c r="J7" s="5">
        <v>5408</v>
      </c>
    </row>
    <row r="8" spans="3:10" x14ac:dyDescent="0.25">
      <c r="C8" s="5">
        <v>174</v>
      </c>
      <c r="D8" s="5">
        <v>822</v>
      </c>
      <c r="E8" s="5">
        <v>497</v>
      </c>
      <c r="F8" s="5">
        <v>593</v>
      </c>
      <c r="G8" s="5">
        <v>178</v>
      </c>
      <c r="H8" s="5">
        <v>7415</v>
      </c>
      <c r="I8" s="5">
        <v>3306</v>
      </c>
      <c r="J8" s="5">
        <v>6208</v>
      </c>
    </row>
    <row r="9" spans="3:10" x14ac:dyDescent="0.25">
      <c r="C9" s="5">
        <v>178</v>
      </c>
      <c r="D9" s="5">
        <v>705</v>
      </c>
      <c r="E9" s="5">
        <v>445</v>
      </c>
      <c r="F9" s="5">
        <v>571</v>
      </c>
      <c r="G9" s="5">
        <v>173</v>
      </c>
      <c r="H9" s="5">
        <v>6666</v>
      </c>
      <c r="I9" s="5">
        <v>3388</v>
      </c>
      <c r="J9" s="5">
        <v>6834</v>
      </c>
    </row>
    <row r="10" spans="3:10" x14ac:dyDescent="0.25">
      <c r="C10" s="5">
        <v>173</v>
      </c>
      <c r="D10" s="5">
        <v>588</v>
      </c>
      <c r="E10" s="5">
        <v>501</v>
      </c>
      <c r="F10" s="5">
        <v>687</v>
      </c>
      <c r="G10" s="5">
        <v>166</v>
      </c>
      <c r="H10" s="5">
        <v>7695</v>
      </c>
      <c r="I10" s="5">
        <v>3609</v>
      </c>
      <c r="J10" s="5">
        <v>5824</v>
      </c>
    </row>
    <row r="11" spans="3:10" x14ac:dyDescent="0.25">
      <c r="C11" s="5">
        <v>171</v>
      </c>
      <c r="D11" s="5">
        <v>608</v>
      </c>
      <c r="E11" s="5">
        <v>562</v>
      </c>
      <c r="F11" s="5">
        <v>591</v>
      </c>
      <c r="G11" s="5">
        <v>180</v>
      </c>
      <c r="H11" s="5">
        <v>7907</v>
      </c>
      <c r="I11" s="5">
        <v>2784</v>
      </c>
      <c r="J11" s="5">
        <v>5803</v>
      </c>
    </row>
    <row r="12" spans="3:10" x14ac:dyDescent="0.25">
      <c r="C12" s="5">
        <v>173</v>
      </c>
      <c r="D12" s="5">
        <v>762</v>
      </c>
      <c r="E12" s="5">
        <v>567</v>
      </c>
      <c r="F12" s="5">
        <v>557</v>
      </c>
      <c r="G12" s="5">
        <v>181</v>
      </c>
      <c r="H12" s="5">
        <v>4953</v>
      </c>
      <c r="I12" s="5">
        <v>2634</v>
      </c>
      <c r="J12" s="5">
        <v>7460</v>
      </c>
    </row>
    <row r="13" spans="3:10" x14ac:dyDescent="0.25">
      <c r="C13" s="5">
        <v>183</v>
      </c>
      <c r="D13" s="5">
        <v>1434</v>
      </c>
      <c r="E13" s="5">
        <v>598</v>
      </c>
      <c r="F13" s="5">
        <v>576</v>
      </c>
      <c r="G13" s="5">
        <v>213</v>
      </c>
      <c r="H13" s="5">
        <v>6068</v>
      </c>
      <c r="I13" s="5">
        <v>2640</v>
      </c>
      <c r="J13" s="5">
        <v>7264</v>
      </c>
    </row>
    <row r="14" spans="3:10" x14ac:dyDescent="0.25">
      <c r="C14" s="5">
        <v>173</v>
      </c>
      <c r="D14" s="5">
        <v>717</v>
      </c>
      <c r="E14" s="5">
        <v>558</v>
      </c>
      <c r="F14" s="5">
        <v>586</v>
      </c>
      <c r="G14" s="5">
        <v>172</v>
      </c>
      <c r="H14" s="5">
        <v>6925</v>
      </c>
      <c r="I14" s="5">
        <v>3146</v>
      </c>
      <c r="J14" s="5">
        <v>3711</v>
      </c>
    </row>
    <row r="15" spans="3:10" x14ac:dyDescent="0.25">
      <c r="C15" s="5">
        <v>176</v>
      </c>
      <c r="D15" s="5">
        <v>743</v>
      </c>
      <c r="E15" s="5">
        <v>464</v>
      </c>
      <c r="F15" s="5">
        <v>640</v>
      </c>
      <c r="G15" s="5">
        <v>173</v>
      </c>
      <c r="H15" s="5">
        <v>7779</v>
      </c>
      <c r="I15" s="5">
        <v>3037</v>
      </c>
      <c r="J15" s="5">
        <v>7372</v>
      </c>
    </row>
    <row r="16" spans="3:10" x14ac:dyDescent="0.25">
      <c r="C16" s="5">
        <v>169</v>
      </c>
      <c r="D16" s="5">
        <v>2215</v>
      </c>
      <c r="E16" s="5">
        <v>452</v>
      </c>
      <c r="F16" s="5">
        <v>586</v>
      </c>
      <c r="G16" s="5">
        <v>172</v>
      </c>
      <c r="H16" s="5">
        <v>4812</v>
      </c>
      <c r="I16" s="5">
        <v>2825</v>
      </c>
      <c r="J16" s="5">
        <v>5364</v>
      </c>
    </row>
    <row r="17" spans="2:10" x14ac:dyDescent="0.25">
      <c r="C17" s="5">
        <v>174</v>
      </c>
      <c r="D17" s="5">
        <v>1025</v>
      </c>
      <c r="E17" s="5">
        <v>454</v>
      </c>
      <c r="F17" s="5">
        <v>577</v>
      </c>
      <c r="G17" s="5">
        <v>191</v>
      </c>
      <c r="H17" s="5">
        <v>5298</v>
      </c>
      <c r="I17" s="5">
        <v>2980</v>
      </c>
      <c r="J17" s="5">
        <v>5680</v>
      </c>
    </row>
    <row r="18" spans="2:10" x14ac:dyDescent="0.25">
      <c r="C18" s="5">
        <v>171</v>
      </c>
      <c r="D18" s="5">
        <v>792</v>
      </c>
      <c r="E18" s="5">
        <v>503</v>
      </c>
      <c r="F18" s="5">
        <v>516</v>
      </c>
      <c r="G18" s="5">
        <v>190</v>
      </c>
      <c r="H18" s="5">
        <v>6434</v>
      </c>
      <c r="I18" s="5"/>
      <c r="J18" s="5">
        <v>5538</v>
      </c>
    </row>
    <row r="19" spans="2:10" x14ac:dyDescent="0.25">
      <c r="C19" s="5">
        <v>179</v>
      </c>
      <c r="D19" s="5">
        <v>630</v>
      </c>
      <c r="E19" s="5">
        <v>477</v>
      </c>
      <c r="F19" s="5">
        <v>526</v>
      </c>
      <c r="G19" s="5">
        <v>174</v>
      </c>
      <c r="H19" s="5">
        <v>5952</v>
      </c>
      <c r="I19" s="5"/>
      <c r="J19" s="5">
        <v>6711</v>
      </c>
    </row>
    <row r="20" spans="2:10" x14ac:dyDescent="0.25">
      <c r="C20" s="5">
        <v>173</v>
      </c>
      <c r="D20" s="5">
        <v>613</v>
      </c>
      <c r="E20" s="5">
        <v>599</v>
      </c>
      <c r="F20" s="5">
        <v>614</v>
      </c>
      <c r="G20" s="5">
        <v>169</v>
      </c>
      <c r="H20" s="5">
        <v>8289</v>
      </c>
      <c r="I20" s="5"/>
      <c r="J20" s="5">
        <v>10034</v>
      </c>
    </row>
    <row r="21" spans="2:10" x14ac:dyDescent="0.25">
      <c r="C21" s="5">
        <v>179</v>
      </c>
      <c r="D21" s="5">
        <v>728</v>
      </c>
      <c r="E21" s="5">
        <v>743</v>
      </c>
      <c r="F21" s="5">
        <v>619</v>
      </c>
      <c r="G21" s="5">
        <v>177</v>
      </c>
      <c r="H21" s="5">
        <v>8205</v>
      </c>
      <c r="I21" s="5"/>
      <c r="J21" s="5">
        <v>7351</v>
      </c>
    </row>
    <row r="22" spans="2:10" x14ac:dyDescent="0.25">
      <c r="C22" s="5">
        <v>173</v>
      </c>
      <c r="D22" s="5">
        <v>569</v>
      </c>
      <c r="E22" s="5">
        <v>414</v>
      </c>
      <c r="F22" s="5">
        <v>490</v>
      </c>
      <c r="G22" s="5">
        <v>201</v>
      </c>
      <c r="H22" s="5">
        <v>7630</v>
      </c>
      <c r="I22" s="5"/>
      <c r="J22" s="5">
        <v>4066</v>
      </c>
    </row>
    <row r="23" spans="2:10" x14ac:dyDescent="0.25">
      <c r="C23" s="5">
        <v>175</v>
      </c>
      <c r="D23" s="5">
        <v>630</v>
      </c>
      <c r="E23" s="5">
        <v>583</v>
      </c>
      <c r="F23" s="5">
        <v>520</v>
      </c>
      <c r="G23" s="5">
        <v>178</v>
      </c>
      <c r="H23" s="5">
        <v>13189</v>
      </c>
      <c r="I23" s="5"/>
      <c r="J23" s="5">
        <v>5472</v>
      </c>
    </row>
    <row r="24" spans="2:10" x14ac:dyDescent="0.25">
      <c r="C24" s="5">
        <v>168</v>
      </c>
      <c r="D24" s="5"/>
      <c r="E24" s="5"/>
      <c r="F24" s="5"/>
      <c r="G24" s="5">
        <v>169</v>
      </c>
      <c r="H24" s="5"/>
      <c r="I24" s="5"/>
      <c r="J24" s="5"/>
    </row>
    <row r="25" spans="2:10" x14ac:dyDescent="0.25">
      <c r="C25" s="5">
        <v>181</v>
      </c>
      <c r="D25" s="5"/>
      <c r="E25" s="5"/>
      <c r="F25" s="5"/>
      <c r="G25" s="5"/>
      <c r="H25" s="5"/>
      <c r="I25" s="5"/>
      <c r="J25" s="5"/>
    </row>
    <row r="26" spans="2:10" x14ac:dyDescent="0.25">
      <c r="C26" s="5">
        <v>168</v>
      </c>
      <c r="D26" s="5"/>
      <c r="E26" s="5"/>
      <c r="F26" s="5"/>
      <c r="G26" s="5"/>
      <c r="H26" s="5"/>
      <c r="I26" s="5"/>
      <c r="J26" s="5"/>
    </row>
    <row r="27" spans="2:10" x14ac:dyDescent="0.25">
      <c r="C27" s="5">
        <v>176</v>
      </c>
      <c r="D27" s="5"/>
      <c r="E27" s="5"/>
      <c r="F27" s="5"/>
      <c r="G27" s="5"/>
      <c r="H27" s="5"/>
      <c r="I27" s="5"/>
      <c r="J27" s="5"/>
    </row>
    <row r="28" spans="2:10" x14ac:dyDescent="0.25">
      <c r="B28" s="3" t="s">
        <v>0</v>
      </c>
      <c r="C28" s="2">
        <f>AVERAGE(C4:C27)</f>
        <v>174.45833333333334</v>
      </c>
      <c r="D28" s="2">
        <f t="shared" ref="D28:J28" si="0">AVERAGE(D4:D27)</f>
        <v>791.25</v>
      </c>
      <c r="E28" s="2">
        <f t="shared" si="0"/>
        <v>515.9</v>
      </c>
      <c r="F28" s="2">
        <f t="shared" si="0"/>
        <v>586.45000000000005</v>
      </c>
      <c r="G28" s="2">
        <f t="shared" si="0"/>
        <v>179.85714285714286</v>
      </c>
      <c r="H28" s="2">
        <f t="shared" si="0"/>
        <v>7197.8</v>
      </c>
      <c r="I28" s="2">
        <f t="shared" si="0"/>
        <v>3036.5714285714284</v>
      </c>
      <c r="J28" s="2">
        <f t="shared" si="0"/>
        <v>6081.7</v>
      </c>
    </row>
    <row r="29" spans="2:10" x14ac:dyDescent="0.25">
      <c r="B29" s="3" t="s">
        <v>1</v>
      </c>
      <c r="C29" s="2">
        <f>STDEV(C4:C27)/SQRT(C30)</f>
        <v>0.92857059908653306</v>
      </c>
      <c r="D29" s="2">
        <f t="shared" ref="D29:J29" si="1">STDEV(D4:D27)/SQRT(D30)</f>
        <v>88.274567923639609</v>
      </c>
      <c r="E29" s="2">
        <f t="shared" si="1"/>
        <v>17.512837396727292</v>
      </c>
      <c r="F29" s="2">
        <f t="shared" si="1"/>
        <v>12.047379055432062</v>
      </c>
      <c r="G29" s="2">
        <f t="shared" si="1"/>
        <v>2.4604352250361399</v>
      </c>
      <c r="H29" s="2">
        <f t="shared" si="1"/>
        <v>407.44532471434621</v>
      </c>
      <c r="I29" s="2">
        <f t="shared" si="1"/>
        <v>74.647207928303416</v>
      </c>
      <c r="J29" s="2">
        <f t="shared" si="1"/>
        <v>314.13811997440354</v>
      </c>
    </row>
    <row r="30" spans="2:10" x14ac:dyDescent="0.25">
      <c r="B30" s="3" t="s">
        <v>2</v>
      </c>
      <c r="C30" s="1">
        <f>COUNT(C4:C27)</f>
        <v>24</v>
      </c>
      <c r="D30" s="1">
        <f t="shared" ref="D30:J30" si="2">COUNT(D4:D27)</f>
        <v>20</v>
      </c>
      <c r="E30" s="1">
        <f t="shared" si="2"/>
        <v>20</v>
      </c>
      <c r="F30" s="1">
        <f t="shared" si="2"/>
        <v>20</v>
      </c>
      <c r="G30" s="1">
        <f t="shared" si="2"/>
        <v>21</v>
      </c>
      <c r="H30" s="1">
        <f t="shared" si="2"/>
        <v>20</v>
      </c>
      <c r="I30" s="1">
        <f t="shared" si="2"/>
        <v>14</v>
      </c>
      <c r="J30" s="1">
        <f t="shared" si="2"/>
        <v>20</v>
      </c>
    </row>
  </sheetData>
  <mergeCells count="1">
    <mergeCell ref="C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2025-11-14T15:12:08Z</dcterms:modified>
</cp:coreProperties>
</file>