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7\Figure 7D\"/>
    </mc:Choice>
  </mc:AlternateContent>
  <xr:revisionPtr revIDLastSave="0" documentId="13_ncr:1_{6ABA2616-0265-4021-9E94-D2A33F7DF69A}" xr6:coauthVersionLast="47" xr6:coauthVersionMax="47" xr10:uidLastSave="{00000000-0000-0000-0000-000000000000}"/>
  <bookViews>
    <workbookView xWindow="-120" yWindow="-120" windowWidth="38640" windowHeight="21120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1" l="1"/>
  <c r="E25" i="1"/>
  <c r="F25" i="1"/>
  <c r="D26" i="1"/>
  <c r="E26" i="1"/>
  <c r="D27" i="1"/>
  <c r="E27" i="1"/>
  <c r="F27" i="1"/>
  <c r="F26" i="1" s="1"/>
  <c r="C27" i="1"/>
  <c r="C26" i="1" s="1"/>
  <c r="C25" i="1"/>
</calcChain>
</file>

<file path=xl/sharedStrings.xml><?xml version="1.0" encoding="utf-8"?>
<sst xmlns="http://schemas.openxmlformats.org/spreadsheetml/2006/main" count="8" uniqueCount="8">
  <si>
    <t>Average</t>
  </si>
  <si>
    <t>SEM</t>
  </si>
  <si>
    <t>n</t>
  </si>
  <si>
    <t>Background +Cd</t>
  </si>
  <si>
    <t>WT +Cd</t>
  </si>
  <si>
    <t>G17L+G20L +Cd</t>
  </si>
  <si>
    <t>K9A +Cd</t>
  </si>
  <si>
    <t>Fluorescence intensity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</si>
</sst>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G27"/>
  <sheetViews>
    <sheetView tabSelected="1" workbookViewId="0">
      <selection activeCell="C6" sqref="C6"/>
    </sheetView>
  </sheetViews>
  <sheetFormatPr baseColWidth="10" defaultRowHeight="15" x14ac:dyDescent="0.25"/>
  <cols>
    <col min="2" max="5" width="15.7109375" customWidth="1"/>
  </cols>
  <sheetData>
    <row r="2" spans="3:7" x14ac:dyDescent="0.25">
      <c r="C2" s="8" t="s">
        <v>7</v>
      </c>
      <c r="D2" s="8"/>
      <c r="E2" s="8"/>
      <c r="F2" s="8"/>
    </row>
    <row r="3" spans="3:7" x14ac:dyDescent="0.25">
      <c r="C3" s="4" t="s">
        <v>3</v>
      </c>
      <c r="D3" s="4" t="s">
        <v>4</v>
      </c>
      <c r="E3" s="4" t="s">
        <v>5</v>
      </c>
      <c r="F3" s="4" t="s">
        <v>6</v>
      </c>
      <c r="G3" s="6"/>
    </row>
    <row r="4" spans="3:7" x14ac:dyDescent="0.25">
      <c r="C4" s="7">
        <v>111</v>
      </c>
      <c r="D4" s="7">
        <v>217</v>
      </c>
      <c r="E4" s="7">
        <v>217</v>
      </c>
      <c r="F4" s="7">
        <v>255</v>
      </c>
      <c r="G4" s="5"/>
    </row>
    <row r="5" spans="3:7" x14ac:dyDescent="0.25">
      <c r="C5" s="7">
        <v>112</v>
      </c>
      <c r="D5" s="7">
        <v>209</v>
      </c>
      <c r="E5" s="7">
        <v>215</v>
      </c>
      <c r="F5" s="7">
        <v>269</v>
      </c>
      <c r="G5" s="5"/>
    </row>
    <row r="6" spans="3:7" x14ac:dyDescent="0.25">
      <c r="C6" s="7">
        <v>111</v>
      </c>
      <c r="D6" s="7">
        <v>228</v>
      </c>
      <c r="E6" s="7">
        <v>214</v>
      </c>
      <c r="F6" s="7">
        <v>295</v>
      </c>
      <c r="G6" s="5"/>
    </row>
    <row r="7" spans="3:7" x14ac:dyDescent="0.25">
      <c r="C7" s="7">
        <v>111</v>
      </c>
      <c r="D7" s="7">
        <v>220</v>
      </c>
      <c r="E7" s="7">
        <v>203</v>
      </c>
      <c r="F7" s="7">
        <v>295</v>
      </c>
      <c r="G7" s="5"/>
    </row>
    <row r="8" spans="3:7" x14ac:dyDescent="0.25">
      <c r="C8" s="7">
        <v>112</v>
      </c>
      <c r="D8" s="7">
        <v>232</v>
      </c>
      <c r="E8" s="7">
        <v>213</v>
      </c>
      <c r="F8" s="7">
        <v>309</v>
      </c>
      <c r="G8" s="5"/>
    </row>
    <row r="9" spans="3:7" x14ac:dyDescent="0.25">
      <c r="C9" s="7">
        <v>112</v>
      </c>
      <c r="D9" s="7">
        <v>236</v>
      </c>
      <c r="E9" s="7">
        <v>203</v>
      </c>
      <c r="F9" s="7">
        <v>260</v>
      </c>
      <c r="G9" s="5"/>
    </row>
    <row r="10" spans="3:7" x14ac:dyDescent="0.25">
      <c r="C10" s="7">
        <v>110</v>
      </c>
      <c r="D10" s="7">
        <v>222</v>
      </c>
      <c r="E10" s="7">
        <v>224</v>
      </c>
      <c r="F10" s="7">
        <v>289</v>
      </c>
      <c r="G10" s="5"/>
    </row>
    <row r="11" spans="3:7" x14ac:dyDescent="0.25">
      <c r="C11" s="7">
        <v>112</v>
      </c>
      <c r="D11" s="7">
        <v>206</v>
      </c>
      <c r="E11" s="7">
        <v>230</v>
      </c>
      <c r="F11" s="7">
        <v>277</v>
      </c>
      <c r="G11" s="5"/>
    </row>
    <row r="12" spans="3:7" x14ac:dyDescent="0.25">
      <c r="C12" s="7">
        <v>112</v>
      </c>
      <c r="D12" s="7">
        <v>185</v>
      </c>
      <c r="E12" s="7">
        <v>210</v>
      </c>
      <c r="F12" s="7">
        <v>313</v>
      </c>
      <c r="G12" s="5"/>
    </row>
    <row r="13" spans="3:7" x14ac:dyDescent="0.25">
      <c r="C13" s="7">
        <v>112</v>
      </c>
      <c r="D13" s="7">
        <v>199</v>
      </c>
      <c r="E13" s="7">
        <v>196</v>
      </c>
      <c r="F13" s="7">
        <v>293</v>
      </c>
      <c r="G13" s="5"/>
    </row>
    <row r="14" spans="3:7" x14ac:dyDescent="0.25">
      <c r="C14" s="7">
        <v>110</v>
      </c>
      <c r="D14" s="7">
        <v>206</v>
      </c>
      <c r="E14" s="7">
        <v>220</v>
      </c>
      <c r="F14" s="7">
        <v>215</v>
      </c>
      <c r="G14" s="5"/>
    </row>
    <row r="15" spans="3:7" x14ac:dyDescent="0.25">
      <c r="C15" s="7">
        <v>111</v>
      </c>
      <c r="D15" s="7">
        <v>232</v>
      </c>
      <c r="E15" s="7">
        <v>215</v>
      </c>
      <c r="F15" s="7">
        <v>273</v>
      </c>
      <c r="G15" s="5"/>
    </row>
    <row r="16" spans="3:7" x14ac:dyDescent="0.25">
      <c r="C16" s="7">
        <v>111</v>
      </c>
      <c r="D16" s="7">
        <v>188</v>
      </c>
      <c r="E16" s="7">
        <v>216</v>
      </c>
      <c r="F16" s="7">
        <v>283</v>
      </c>
      <c r="G16" s="5"/>
    </row>
    <row r="17" spans="2:7" x14ac:dyDescent="0.25">
      <c r="C17" s="7">
        <v>112</v>
      </c>
      <c r="D17" s="7">
        <v>201</v>
      </c>
      <c r="E17" s="7">
        <v>206</v>
      </c>
      <c r="F17" s="7">
        <v>265</v>
      </c>
      <c r="G17" s="5"/>
    </row>
    <row r="18" spans="2:7" x14ac:dyDescent="0.25">
      <c r="C18" s="7">
        <v>111</v>
      </c>
      <c r="D18" s="7">
        <v>229</v>
      </c>
      <c r="E18" s="7"/>
      <c r="F18" s="7">
        <v>334</v>
      </c>
      <c r="G18" s="5"/>
    </row>
    <row r="19" spans="2:7" x14ac:dyDescent="0.25">
      <c r="C19" s="7">
        <v>111</v>
      </c>
      <c r="D19" s="7">
        <v>211</v>
      </c>
      <c r="E19" s="7"/>
      <c r="F19" s="7">
        <v>290</v>
      </c>
      <c r="G19" s="5"/>
    </row>
    <row r="20" spans="2:7" x14ac:dyDescent="0.25">
      <c r="C20" s="7">
        <v>111</v>
      </c>
      <c r="D20" s="7">
        <v>209</v>
      </c>
      <c r="E20" s="7"/>
      <c r="F20" s="7">
        <v>399</v>
      </c>
    </row>
    <row r="21" spans="2:7" x14ac:dyDescent="0.25">
      <c r="C21" s="7">
        <v>113</v>
      </c>
      <c r="D21" s="7">
        <v>237</v>
      </c>
      <c r="E21" s="7"/>
      <c r="F21" s="7">
        <v>329</v>
      </c>
    </row>
    <row r="22" spans="2:7" x14ac:dyDescent="0.25">
      <c r="C22" s="7">
        <v>111</v>
      </c>
      <c r="D22" s="7">
        <v>236</v>
      </c>
      <c r="E22" s="7"/>
      <c r="F22" s="7">
        <v>228</v>
      </c>
    </row>
    <row r="23" spans="2:7" x14ac:dyDescent="0.25">
      <c r="C23" s="7">
        <v>112</v>
      </c>
      <c r="D23" s="7">
        <v>217</v>
      </c>
      <c r="E23" s="7"/>
      <c r="F23" s="7">
        <v>324</v>
      </c>
    </row>
    <row r="24" spans="2:7" x14ac:dyDescent="0.25">
      <c r="C24" s="7">
        <v>111</v>
      </c>
      <c r="D24" s="7"/>
      <c r="E24" s="7"/>
      <c r="F24" s="7"/>
    </row>
    <row r="25" spans="2:7" x14ac:dyDescent="0.25">
      <c r="B25" s="3" t="s">
        <v>0</v>
      </c>
      <c r="C25" s="2">
        <f>AVERAGE(C4:C24)</f>
        <v>111.38095238095238</v>
      </c>
      <c r="D25" s="2">
        <f t="shared" ref="D25:F25" si="0">AVERAGE(D4:D24)</f>
        <v>216</v>
      </c>
      <c r="E25" s="2">
        <f t="shared" si="0"/>
        <v>213</v>
      </c>
      <c r="F25" s="2">
        <f t="shared" si="0"/>
        <v>289.75</v>
      </c>
    </row>
    <row r="26" spans="2:7" x14ac:dyDescent="0.25">
      <c r="B26" s="3" t="s">
        <v>1</v>
      </c>
      <c r="C26" s="2">
        <f>STDEV(C4:C24)/SQRT(C27)</f>
        <v>0.16148404721726831</v>
      </c>
      <c r="D26" s="2">
        <f t="shared" ref="D26:F26" si="1">STDEV(D4:D24)/SQRT(D27)</f>
        <v>3.5176247967238226</v>
      </c>
      <c r="E26" s="2">
        <f t="shared" si="1"/>
        <v>2.3904572186687876</v>
      </c>
      <c r="F26" s="2">
        <f t="shared" si="1"/>
        <v>8.9750751352961107</v>
      </c>
    </row>
    <row r="27" spans="2:7" x14ac:dyDescent="0.25">
      <c r="B27" s="3" t="s">
        <v>2</v>
      </c>
      <c r="C27" s="1">
        <f>COUNT(C4:C24)</f>
        <v>21</v>
      </c>
      <c r="D27" s="1">
        <f t="shared" ref="D27:F27" si="2">COUNT(D4:D24)</f>
        <v>20</v>
      </c>
      <c r="E27" s="1">
        <f t="shared" si="2"/>
        <v>14</v>
      </c>
      <c r="F27" s="1">
        <f t="shared" si="2"/>
        <v>20</v>
      </c>
    </row>
  </sheetData>
  <mergeCells count="1"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2025-11-14T15:19:42Z</dcterms:modified>
</cp:coreProperties>
</file>