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B\"/>
    </mc:Choice>
  </mc:AlternateContent>
  <xr:revisionPtr revIDLastSave="0" documentId="13_ncr:1_{C8B78D03-32C2-4C2D-BECD-1B9996514D8A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E15" i="1"/>
  <c r="F15" i="1"/>
  <c r="D17" i="1"/>
  <c r="D16" i="1" s="1"/>
  <c r="E17" i="1"/>
  <c r="E16" i="1" s="1"/>
  <c r="F17" i="1"/>
  <c r="F16" i="1" s="1"/>
  <c r="C17" i="1"/>
  <c r="C16" i="1" s="1"/>
  <c r="C15" i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<sst xmlns="http://schemas.openxmlformats.org/spreadsheetml/2006/main" count="8" uniqueCount="8">
  <si>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</si>
  <si>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</si>
  <si>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</si>
  <si>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emty vector</t>
  </si>
  <si>
    <t>+pacL2-ctpG</t>
  </si>
  <si>
    <r>
      <t>+pacL2</t>
    </r>
    <r>
      <rPr>
        <vertAlign val="superscript"/>
        <sz val="10"/>
        <rFont val="Arial"/>
        <family val="2"/>
      </rPr>
      <t>G17L+G20L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ctpG</t>
    </r>
  </si>
  <si>
    <r>
      <t>+pacL2</t>
    </r>
    <r>
      <rPr>
        <vertAlign val="superscript"/>
        <sz val="10"/>
        <rFont val="Arial"/>
        <family val="2"/>
      </rPr>
      <t>K9A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ctpG</t>
    </r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</si>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</sst>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F17"/>
  <sheetViews>
    <sheetView tabSelected="1" workbookViewId="0">
      <selection activeCell="J15" sqref="J15"/>
    </sheetView>
  </sheetViews>
  <sheetFormatPr baseColWidth="10" defaultRowHeight="15" x14ac:dyDescent="0.25"/>
  <cols>
    <col min="2" max="5" width="15.7109375" customWidth="1"/>
  </cols>
  <sheetData>
    <row r="2" spans="2:6" x14ac:dyDescent="0.25">
      <c r="C2" s="6" t="s">
        <v>7</v>
      </c>
      <c r="D2" s="6"/>
      <c r="E2" s="6"/>
      <c r="F2" s="6"/>
    </row>
    <row r="3" spans="2:6" x14ac:dyDescent="0.25">
      <c r="C3" s="4" t="s">
        <v>3</v>
      </c>
      <c r="D3" s="5" t="s">
        <v>4</v>
      </c>
      <c r="E3" s="5" t="s">
        <v>5</v>
      </c>
      <c r="F3" s="5" t="s">
        <v>6</v>
      </c>
    </row>
    <row r="4" spans="2:6" x14ac:dyDescent="0.25">
      <c r="C4" s="4">
        <v>100</v>
      </c>
      <c r="D4" s="4">
        <v>39.5</v>
      </c>
      <c r="E4" s="4">
        <v>92.1</v>
      </c>
      <c r="F4" s="4">
        <v>57.9</v>
      </c>
    </row>
    <row r="5" spans="2:6" x14ac:dyDescent="0.25">
      <c r="C5" s="4">
        <v>100</v>
      </c>
      <c r="D5" s="4">
        <v>39.5</v>
      </c>
      <c r="E5" s="4">
        <v>89.5</v>
      </c>
      <c r="F5" s="4">
        <v>61.5</v>
      </c>
    </row>
    <row r="6" spans="2:6" x14ac:dyDescent="0.25">
      <c r="C6" s="4">
        <v>100</v>
      </c>
      <c r="D6" s="4">
        <v>39.5</v>
      </c>
      <c r="E6" s="4">
        <v>89.5</v>
      </c>
      <c r="F6" s="4">
        <v>60.5</v>
      </c>
    </row>
    <row r="7" spans="2:6" x14ac:dyDescent="0.25">
      <c r="C7" s="4">
        <v>100</v>
      </c>
      <c r="D7" s="4">
        <v>42.1</v>
      </c>
      <c r="E7" s="4">
        <v>97.4</v>
      </c>
      <c r="F7" s="4">
        <v>65.8</v>
      </c>
    </row>
    <row r="8" spans="2:6" x14ac:dyDescent="0.25">
      <c r="C8" s="4">
        <v>100</v>
      </c>
      <c r="D8" s="4">
        <v>38.5</v>
      </c>
      <c r="E8" s="4">
        <v>94.9</v>
      </c>
      <c r="F8" s="4">
        <v>65.8</v>
      </c>
    </row>
    <row r="9" spans="2:6" x14ac:dyDescent="0.25">
      <c r="C9" s="4">
        <v>100</v>
      </c>
      <c r="D9" s="4">
        <v>42.1</v>
      </c>
      <c r="E9" s="4">
        <v>94.7</v>
      </c>
      <c r="F9" s="4">
        <v>65.8</v>
      </c>
    </row>
    <row r="10" spans="2:6" x14ac:dyDescent="0.25">
      <c r="C10" s="4">
        <v>100</v>
      </c>
      <c r="D10" s="4">
        <v>39.5</v>
      </c>
      <c r="E10" s="4"/>
      <c r="F10" s="4">
        <v>71.8</v>
      </c>
    </row>
    <row r="11" spans="2:6" x14ac:dyDescent="0.25">
      <c r="C11" s="4">
        <v>100</v>
      </c>
      <c r="D11" s="4">
        <v>42.1</v>
      </c>
      <c r="E11" s="4"/>
      <c r="F11" s="4">
        <v>78.900000000000006</v>
      </c>
    </row>
    <row r="12" spans="2:6" x14ac:dyDescent="0.25">
      <c r="C12" s="4">
        <v>100</v>
      </c>
      <c r="D12" s="4">
        <v>42.1</v>
      </c>
      <c r="E12" s="4"/>
      <c r="F12" s="4">
        <v>76.900000000000006</v>
      </c>
    </row>
    <row r="13" spans="2:6" x14ac:dyDescent="0.25">
      <c r="C13" s="4">
        <v>100</v>
      </c>
      <c r="D13" s="4">
        <v>53.8</v>
      </c>
      <c r="E13" s="4"/>
      <c r="F13" s="4"/>
    </row>
    <row r="14" spans="2:6" x14ac:dyDescent="0.25">
      <c r="C14" s="4">
        <v>100</v>
      </c>
      <c r="D14" s="4">
        <v>55.3</v>
      </c>
      <c r="E14" s="4"/>
      <c r="F14" s="4"/>
    </row>
    <row r="15" spans="2:6" x14ac:dyDescent="0.25">
      <c r="B15" s="3" t="s">
        <v>0</v>
      </c>
      <c r="C15" s="2">
        <f>AVERAGE(C4:C14)</f>
        <v>100</v>
      </c>
      <c r="D15" s="2">
        <f t="shared" ref="D15:F15" si="0">AVERAGE(D4:D14)</f>
        <v>43.090909090909093</v>
      </c>
      <c r="E15" s="2">
        <f t="shared" si="0"/>
        <v>93.016666666666666</v>
      </c>
      <c r="F15" s="2">
        <f t="shared" si="0"/>
        <v>67.211111111111109</v>
      </c>
    </row>
    <row r="16" spans="2:6" x14ac:dyDescent="0.25">
      <c r="B16" s="3" t="s">
        <v>1</v>
      </c>
      <c r="C16" s="2">
        <f>STDEV(C4:C14)/SQRT(C17)</f>
        <v>0</v>
      </c>
      <c r="D16" s="2">
        <f t="shared" ref="D16:F16" si="1">STDEV(D4:D14)/SQRT(D17)</f>
        <v>1.7589487844864071</v>
      </c>
      <c r="E16" s="2">
        <f t="shared" si="1"/>
        <v>1.3059904712941495</v>
      </c>
      <c r="F16" s="2">
        <f t="shared" si="1"/>
        <v>2.4206544365593761</v>
      </c>
    </row>
    <row r="17" spans="2:6" x14ac:dyDescent="0.25">
      <c r="B17" s="3" t="s">
        <v>2</v>
      </c>
      <c r="C17" s="1">
        <f>COUNT(C4:C14)</f>
        <v>11</v>
      </c>
      <c r="D17" s="1">
        <f t="shared" ref="D17:F17" si="2">COUNT(D4:D14)</f>
        <v>11</v>
      </c>
      <c r="E17" s="1">
        <f t="shared" si="2"/>
        <v>6</v>
      </c>
      <c r="F17" s="1">
        <f t="shared" si="2"/>
        <v>9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2025-11-14T15:10:24Z</dcterms:modified>
</cp:coreProperties>
</file>