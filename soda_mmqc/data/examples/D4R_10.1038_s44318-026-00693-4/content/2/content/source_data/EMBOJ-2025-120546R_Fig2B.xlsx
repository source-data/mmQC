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/Users/rossia/Documents/2024_resubmission/EMBO/source_data/Fig2/"/>
    </mc:Choice>
  </mc:AlternateContent>
  <xr:revisionPtr revIDLastSave="0" documentId="13_ncr:1_{0D819C61-F474-A648-891B-45085694C724}" xr6:coauthVersionLast="47" xr6:coauthVersionMax="47" xr10:uidLastSave="{00000000-0000-0000-0000-000000000000}"/>
  <bookViews>
    <workbookView xWindow="1900" yWindow="1820" windowWidth="27240" windowHeight="16440" xr2:uid="{EA9E4951-06B3-B843-B9FF-6B6591F2F2A4}"/>
  </bookViews>
  <sheets>
    <sheet name="oligo(dT)_qua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4" i="1" l="1"/>
  <c r="K83" i="1"/>
  <c r="K82" i="1"/>
  <c r="L81" i="1" s="1"/>
  <c r="M81" i="1" s="1"/>
  <c r="K81" i="1"/>
  <c r="K80" i="1"/>
  <c r="K79" i="1"/>
  <c r="K78" i="1"/>
  <c r="L77" i="1"/>
  <c r="M77" i="1" s="1"/>
  <c r="K77" i="1"/>
  <c r="K76" i="1"/>
  <c r="K75" i="1"/>
  <c r="K74" i="1"/>
  <c r="K73" i="1"/>
  <c r="L73" i="1" s="1"/>
  <c r="M73" i="1" s="1"/>
  <c r="K72" i="1"/>
  <c r="K71" i="1"/>
  <c r="L71" i="1" s="1"/>
  <c r="M71" i="1" s="1"/>
  <c r="K70" i="1"/>
  <c r="K69" i="1"/>
  <c r="L69" i="1" s="1"/>
  <c r="M69" i="1" s="1"/>
  <c r="K68" i="1"/>
  <c r="K67" i="1"/>
  <c r="L67" i="1" s="1"/>
  <c r="M67" i="1" s="1"/>
  <c r="K66" i="1"/>
  <c r="K65" i="1"/>
  <c r="L65" i="1" s="1"/>
  <c r="M65" i="1" s="1"/>
  <c r="K64" i="1"/>
  <c r="K63" i="1"/>
  <c r="L63" i="1" s="1"/>
  <c r="M63" i="1" s="1"/>
  <c r="K62" i="1"/>
  <c r="K61" i="1"/>
  <c r="L61" i="1" s="1"/>
  <c r="M61" i="1" s="1"/>
  <c r="K60" i="1"/>
  <c r="K59" i="1"/>
  <c r="L59" i="1" s="1"/>
  <c r="M59" i="1" s="1"/>
  <c r="K57" i="1"/>
  <c r="K56" i="1"/>
  <c r="L56" i="1" s="1"/>
  <c r="M56" i="1" s="1"/>
  <c r="K55" i="1"/>
  <c r="K54" i="1"/>
  <c r="L54" i="1" s="1"/>
  <c r="M54" i="1" s="1"/>
  <c r="K53" i="1"/>
  <c r="K52" i="1"/>
  <c r="L52" i="1" s="1"/>
  <c r="M52" i="1" s="1"/>
  <c r="K51" i="1"/>
  <c r="K50" i="1"/>
  <c r="K49" i="1"/>
  <c r="K48" i="1"/>
  <c r="L48" i="1" s="1"/>
  <c r="M48" i="1" s="1"/>
  <c r="K47" i="1"/>
  <c r="K46" i="1"/>
  <c r="L46" i="1" s="1"/>
  <c r="M46" i="1" s="1"/>
  <c r="K45" i="1"/>
  <c r="L44" i="1"/>
  <c r="M44" i="1" s="1"/>
  <c r="K44" i="1"/>
  <c r="K43" i="1"/>
  <c r="K42" i="1"/>
  <c r="L42" i="1" s="1"/>
  <c r="M42" i="1" s="1"/>
  <c r="K41" i="1"/>
  <c r="K40" i="1"/>
  <c r="L40" i="1" s="1"/>
  <c r="M40" i="1" s="1"/>
  <c r="K38" i="1"/>
  <c r="K37" i="1"/>
  <c r="L37" i="1" s="1"/>
  <c r="M37" i="1" s="1"/>
  <c r="K36" i="1"/>
  <c r="K35" i="1"/>
  <c r="L35" i="1" s="1"/>
  <c r="M35" i="1" s="1"/>
  <c r="K34" i="1"/>
  <c r="K33" i="1"/>
  <c r="L33" i="1" s="1"/>
  <c r="M33" i="1" s="1"/>
  <c r="K32" i="1"/>
  <c r="K31" i="1"/>
  <c r="L31" i="1" s="1"/>
  <c r="M31" i="1" s="1"/>
  <c r="K30" i="1"/>
  <c r="K29" i="1"/>
  <c r="L29" i="1" s="1"/>
  <c r="M29" i="1" s="1"/>
  <c r="K28" i="1"/>
  <c r="K27" i="1"/>
  <c r="L27" i="1" s="1"/>
  <c r="M27" i="1" s="1"/>
  <c r="K26" i="1"/>
  <c r="K25" i="1"/>
  <c r="L25" i="1" s="1"/>
  <c r="M25" i="1" s="1"/>
  <c r="K24" i="1"/>
  <c r="K23" i="1"/>
  <c r="L23" i="1" s="1"/>
  <c r="M23" i="1" s="1"/>
  <c r="K22" i="1"/>
  <c r="K21" i="1"/>
  <c r="L21" i="1" s="1"/>
  <c r="M21" i="1" s="1"/>
  <c r="K20" i="1"/>
  <c r="K19" i="1"/>
  <c r="L19" i="1" s="1"/>
  <c r="M19" i="1" s="1"/>
  <c r="K18" i="1"/>
  <c r="K17" i="1"/>
  <c r="K16" i="1"/>
  <c r="K15" i="1"/>
  <c r="L15" i="1" s="1"/>
  <c r="M15" i="1" s="1"/>
  <c r="K13" i="1"/>
  <c r="K12" i="1"/>
  <c r="L12" i="1" s="1"/>
  <c r="M12" i="1" s="1"/>
  <c r="K11" i="1"/>
  <c r="L10" i="1"/>
  <c r="M10" i="1" s="1"/>
  <c r="K10" i="1"/>
  <c r="K9" i="1"/>
  <c r="K8" i="1"/>
  <c r="L8" i="1" s="1"/>
  <c r="M8" i="1" s="1"/>
  <c r="K7" i="1"/>
  <c r="K6" i="1"/>
  <c r="L6" i="1" s="1"/>
  <c r="M6" i="1" s="1"/>
  <c r="K5" i="1"/>
  <c r="K4" i="1"/>
  <c r="L4" i="1" s="1"/>
  <c r="M4" i="1" s="1"/>
  <c r="K3" i="1"/>
  <c r="K2" i="1"/>
  <c r="L79" i="1" l="1"/>
  <c r="M79" i="1" s="1"/>
  <c r="L75" i="1"/>
  <c r="M75" i="1" s="1"/>
  <c r="L83" i="1"/>
  <c r="M83" i="1" s="1"/>
  <c r="L2" i="1"/>
  <c r="L17" i="1"/>
  <c r="M17" i="1" s="1"/>
  <c r="L50" i="1"/>
  <c r="M50" i="1" s="1"/>
  <c r="N2" i="1"/>
  <c r="M2" i="1"/>
</calcChain>
</file>

<file path=xl/sharedStrings.xml><?xml version="1.0" encoding="utf-8"?>
<sst xmlns="http://schemas.openxmlformats.org/spreadsheetml/2006/main" count="134" uniqueCount="56">
  <si>
    <t>Image</t>
  </si>
  <si>
    <t>plane</t>
  </si>
  <si>
    <t>compartment</t>
  </si>
  <si>
    <t>measurement</t>
  </si>
  <si>
    <t>area</t>
  </si>
  <si>
    <t>mean</t>
  </si>
  <si>
    <t>min</t>
  </si>
  <si>
    <t>max</t>
  </si>
  <si>
    <t>IntDen</t>
  </si>
  <si>
    <t>RawIntDen</t>
  </si>
  <si>
    <t>RawIntDen/area</t>
  </si>
  <si>
    <t>nuc/cyto</t>
  </si>
  <si>
    <t>norm to MB</t>
  </si>
  <si>
    <t>MB_6</t>
  </si>
  <si>
    <t>nuc</t>
  </si>
  <si>
    <t>cyto</t>
  </si>
  <si>
    <t>MB_5</t>
  </si>
  <si>
    <t>MB_3</t>
  </si>
  <si>
    <t>MB_4</t>
  </si>
  <si>
    <t>MB_2</t>
  </si>
  <si>
    <t>MB_1</t>
  </si>
  <si>
    <t>0-4_VNC_1</t>
  </si>
  <si>
    <t>0-4_VNC_2</t>
  </si>
  <si>
    <t>0-4_VNC_3</t>
  </si>
  <si>
    <t>0-4_VNC_4</t>
  </si>
  <si>
    <t>0-4_VNC_5</t>
  </si>
  <si>
    <t>0-4_VNC_7</t>
  </si>
  <si>
    <t>0-4_VNC_8</t>
  </si>
  <si>
    <t>0-4_VNC_6</t>
  </si>
  <si>
    <t>0-4_VNC_11</t>
  </si>
  <si>
    <t>0-4_VNC_12</t>
  </si>
  <si>
    <t>0-4_VNC_13</t>
  </si>
  <si>
    <t>0-4_VNC_10</t>
  </si>
  <si>
    <t>24-29_VNC_1</t>
  </si>
  <si>
    <t>6 (bottom)</t>
  </si>
  <si>
    <t>24-29_VNC_9</t>
  </si>
  <si>
    <t>24-29_VNC_8</t>
  </si>
  <si>
    <t>24-29_VNC_7</t>
  </si>
  <si>
    <t>24-29_VNC_6</t>
  </si>
  <si>
    <t>24-29_VNC_5</t>
  </si>
  <si>
    <t>24-29_VNC_4</t>
  </si>
  <si>
    <t>24-29_VNC_3</t>
  </si>
  <si>
    <t>24-29_VNC_2</t>
  </si>
  <si>
    <t>29-36_VNC_2</t>
  </si>
  <si>
    <t>29-36_VNC_5</t>
  </si>
  <si>
    <t>29-36_VNC_7</t>
  </si>
  <si>
    <t>29-36_VNC_9</t>
  </si>
  <si>
    <t>29-36_VNC_1</t>
  </si>
  <si>
    <t>29-36_VNC_4</t>
  </si>
  <si>
    <t>29-36_VNC_6</t>
  </si>
  <si>
    <t>29-36_VNC_3</t>
  </si>
  <si>
    <t>29-36_VNC_8</t>
  </si>
  <si>
    <t>29-36_VNC_10</t>
  </si>
  <si>
    <t>29-36_VNC_13</t>
  </si>
  <si>
    <t>29-36_VNC_11</t>
  </si>
  <si>
    <t>29-36_VNC_12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</si>
</sst>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D58F-A2E9-7146-85DD-AFA13E0EC82D}">
  <dimension ref="A1:N84"/>
  <sheetViews>
    <sheetView tabSelected="1" topLeftCell="A53" workbookViewId="0">
      <selection activeCell="B83" sqref="B83"/>
    </sheetView>
  </sheetViews>
  <sheetFormatPr defaultColWidth="11" defaultRowHeight="15.95"/>
  <cols>
    <col min="1" max="1" width="1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>
      <c r="A2" t="s">
        <v>13</v>
      </c>
      <c r="B2">
        <v>4</v>
      </c>
      <c r="C2" t="s">
        <v>14</v>
      </c>
      <c r="D2">
        <v>1</v>
      </c>
      <c r="E2">
        <v>43.860999999999997</v>
      </c>
      <c r="F2">
        <v>13.617000000000001</v>
      </c>
      <c r="G2">
        <v>1</v>
      </c>
      <c r="H2">
        <v>54</v>
      </c>
      <c r="I2">
        <v>597.27</v>
      </c>
      <c r="J2">
        <v>2454851</v>
      </c>
      <c r="K2">
        <f>J2/E2</f>
        <v>55968.878958528083</v>
      </c>
      <c r="L2">
        <f>K2/K3</f>
        <v>0.59832691615625044</v>
      </c>
      <c r="M2">
        <f>L2/0.53920518</f>
        <v>1.109646083437571</v>
      </c>
      <c r="N2">
        <f>AVERAGE(L2,L4,L6,L8,L10,L12)</f>
        <v>0.53920518139275131</v>
      </c>
    </row>
    <row r="3" spans="1:14">
      <c r="C3" t="s">
        <v>15</v>
      </c>
      <c r="D3">
        <v>1</v>
      </c>
      <c r="E3">
        <v>22.515000000000001</v>
      </c>
      <c r="F3">
        <v>22.759</v>
      </c>
      <c r="G3">
        <v>2</v>
      </c>
      <c r="H3">
        <v>60</v>
      </c>
      <c r="I3">
        <v>512.41999999999996</v>
      </c>
      <c r="J3">
        <v>2106105</v>
      </c>
      <c r="K3">
        <f>J3/E3</f>
        <v>93542.305129913395</v>
      </c>
    </row>
    <row r="4" spans="1:14">
      <c r="A4" t="s">
        <v>16</v>
      </c>
      <c r="B4">
        <v>4</v>
      </c>
      <c r="C4" t="s">
        <v>14</v>
      </c>
      <c r="D4">
        <v>3</v>
      </c>
      <c r="E4">
        <v>33.536000000000001</v>
      </c>
      <c r="F4">
        <v>20.603000000000002</v>
      </c>
      <c r="G4">
        <v>3</v>
      </c>
      <c r="H4">
        <v>69</v>
      </c>
      <c r="I4">
        <v>690.94200000000001</v>
      </c>
      <c r="J4">
        <v>2839854</v>
      </c>
      <c r="K4">
        <f t="shared" ref="K4" si="0">J4/E4</f>
        <v>84680.760973282435</v>
      </c>
      <c r="L4">
        <f t="shared" ref="L4" si="1">K4/K5</f>
        <v>0.62496626055173909</v>
      </c>
      <c r="M4">
        <f t="shared" ref="M4" si="2">L4/0.53920518</f>
        <v>1.1590509211201183</v>
      </c>
    </row>
    <row r="5" spans="1:14">
      <c r="C5" t="s">
        <v>15</v>
      </c>
      <c r="D5">
        <v>2</v>
      </c>
      <c r="E5">
        <v>29.844999999999999</v>
      </c>
      <c r="F5">
        <v>32.966000000000001</v>
      </c>
      <c r="G5">
        <v>5</v>
      </c>
      <c r="H5">
        <v>75</v>
      </c>
      <c r="I5">
        <v>983.88800000000003</v>
      </c>
      <c r="J5">
        <v>4043894</v>
      </c>
      <c r="K5">
        <f>J5/E5</f>
        <v>135496.53208242587</v>
      </c>
    </row>
    <row r="6" spans="1:14">
      <c r="A6" t="s">
        <v>17</v>
      </c>
      <c r="B6">
        <v>8</v>
      </c>
      <c r="C6" t="s">
        <v>14</v>
      </c>
      <c r="D6">
        <v>1</v>
      </c>
      <c r="E6">
        <v>10.863</v>
      </c>
      <c r="F6">
        <v>18.338000000000001</v>
      </c>
      <c r="G6">
        <v>2</v>
      </c>
      <c r="H6">
        <v>60</v>
      </c>
      <c r="I6">
        <v>199.20599999999999</v>
      </c>
      <c r="J6">
        <v>818758</v>
      </c>
      <c r="K6">
        <f t="shared" ref="K6" si="3">J6/E6</f>
        <v>75371.260241185679</v>
      </c>
      <c r="L6">
        <f t="shared" ref="L6" si="4">K6/K7</f>
        <v>0.75491254191229085</v>
      </c>
      <c r="M6">
        <f t="shared" ref="M6" si="5">L6/0.53920518</f>
        <v>1.4000469022057447</v>
      </c>
    </row>
    <row r="7" spans="1:14">
      <c r="C7" t="s">
        <v>15</v>
      </c>
      <c r="D7">
        <v>1</v>
      </c>
      <c r="E7">
        <v>17.193999999999999</v>
      </c>
      <c r="F7">
        <v>24.291</v>
      </c>
      <c r="G7">
        <v>2</v>
      </c>
      <c r="H7">
        <v>63</v>
      </c>
      <c r="I7">
        <v>417.66899999999998</v>
      </c>
      <c r="J7">
        <v>1716667</v>
      </c>
      <c r="K7">
        <f>J7/E7</f>
        <v>99841.049203210423</v>
      </c>
    </row>
    <row r="8" spans="1:14">
      <c r="A8" t="s">
        <v>18</v>
      </c>
      <c r="B8">
        <v>6</v>
      </c>
      <c r="C8" t="s">
        <v>14</v>
      </c>
      <c r="D8">
        <v>1</v>
      </c>
      <c r="E8">
        <v>13.448</v>
      </c>
      <c r="F8">
        <v>7.6139999999999999</v>
      </c>
      <c r="G8">
        <v>0</v>
      </c>
      <c r="H8">
        <v>34</v>
      </c>
      <c r="I8">
        <v>102.399</v>
      </c>
      <c r="J8">
        <v>420873</v>
      </c>
      <c r="K8">
        <f t="shared" ref="K8" si="6">J8/E8</f>
        <v>31296.326591314693</v>
      </c>
      <c r="L8">
        <f t="shared" ref="L8" si="7">K8/K9</f>
        <v>0.50689372384968878</v>
      </c>
      <c r="M8">
        <f t="shared" ref="M8" si="8">L8/0.53920518</f>
        <v>0.94007576828117423</v>
      </c>
    </row>
    <row r="9" spans="1:14">
      <c r="C9" t="s">
        <v>15</v>
      </c>
      <c r="D9">
        <v>2</v>
      </c>
      <c r="E9">
        <v>10.781000000000001</v>
      </c>
      <c r="F9">
        <v>15.022</v>
      </c>
      <c r="G9">
        <v>0</v>
      </c>
      <c r="H9">
        <v>67</v>
      </c>
      <c r="I9">
        <v>161.94999999999999</v>
      </c>
      <c r="J9">
        <v>665634</v>
      </c>
      <c r="K9">
        <f>J9/E9</f>
        <v>61741.396901957145</v>
      </c>
    </row>
    <row r="10" spans="1:14">
      <c r="A10" t="s">
        <v>19</v>
      </c>
      <c r="B10">
        <v>6</v>
      </c>
      <c r="C10" t="s">
        <v>14</v>
      </c>
      <c r="D10">
        <v>1</v>
      </c>
      <c r="E10">
        <v>21.305</v>
      </c>
      <c r="F10">
        <v>11.029</v>
      </c>
      <c r="G10">
        <v>0</v>
      </c>
      <c r="H10">
        <v>52</v>
      </c>
      <c r="I10">
        <v>234.96100000000001</v>
      </c>
      <c r="J10">
        <v>965719</v>
      </c>
      <c r="K10">
        <f t="shared" ref="K10" si="9">J10/E10</f>
        <v>45328.27974653837</v>
      </c>
      <c r="L10">
        <f t="shared" ref="L10" si="10">K10/K11</f>
        <v>0.31224450497092171</v>
      </c>
      <c r="M10">
        <f t="shared" ref="M10" si="11">L10/0.53920518</f>
        <v>0.5790829104626215</v>
      </c>
    </row>
    <row r="11" spans="1:14">
      <c r="C11" t="s">
        <v>15</v>
      </c>
      <c r="D11">
        <v>3</v>
      </c>
      <c r="E11">
        <v>13.907999999999999</v>
      </c>
      <c r="F11">
        <v>35.32</v>
      </c>
      <c r="G11">
        <v>2</v>
      </c>
      <c r="H11">
        <v>90</v>
      </c>
      <c r="I11">
        <v>491.23</v>
      </c>
      <c r="J11">
        <v>2019013</v>
      </c>
      <c r="K11">
        <f>J11/E11</f>
        <v>145169.18320391144</v>
      </c>
    </row>
    <row r="12" spans="1:14">
      <c r="A12" t="s">
        <v>20</v>
      </c>
      <c r="B12">
        <v>8</v>
      </c>
      <c r="C12" t="s">
        <v>14</v>
      </c>
      <c r="D12">
        <v>1</v>
      </c>
      <c r="E12">
        <v>19.734000000000002</v>
      </c>
      <c r="F12">
        <v>17.391999999999999</v>
      </c>
      <c r="G12">
        <v>1</v>
      </c>
      <c r="H12">
        <v>62</v>
      </c>
      <c r="I12">
        <v>343.214</v>
      </c>
      <c r="J12">
        <v>1410649</v>
      </c>
      <c r="K12">
        <f t="shared" ref="K12" si="12">J12/E12</f>
        <v>71483.176244045797</v>
      </c>
      <c r="L12">
        <f t="shared" ref="L12" si="13">K12/K13</f>
        <v>0.4378871409156167</v>
      </c>
      <c r="M12">
        <f t="shared" ref="M12" si="14">L12/0.53920518</f>
        <v>0.81209742999059609</v>
      </c>
    </row>
    <row r="13" spans="1:14">
      <c r="C13" t="s">
        <v>15</v>
      </c>
      <c r="D13">
        <v>1</v>
      </c>
      <c r="E13">
        <v>10.95</v>
      </c>
      <c r="F13">
        <v>39.72</v>
      </c>
      <c r="G13">
        <v>9</v>
      </c>
      <c r="H13">
        <v>93</v>
      </c>
      <c r="I13">
        <v>434.91199999999998</v>
      </c>
      <c r="J13">
        <v>1787540</v>
      </c>
      <c r="K13">
        <f>J13/E13</f>
        <v>163245.66210045663</v>
      </c>
    </row>
    <row r="15" spans="1:14">
      <c r="A15" t="s">
        <v>21</v>
      </c>
      <c r="B15">
        <v>4</v>
      </c>
      <c r="C15" t="s">
        <v>14</v>
      </c>
      <c r="D15">
        <v>1</v>
      </c>
      <c r="E15">
        <v>11.06</v>
      </c>
      <c r="F15">
        <v>18.963999999999999</v>
      </c>
      <c r="G15">
        <v>0</v>
      </c>
      <c r="H15">
        <v>85</v>
      </c>
      <c r="I15">
        <v>209.733</v>
      </c>
      <c r="J15">
        <v>534591</v>
      </c>
      <c r="K15">
        <f>J15/E15</f>
        <v>48335.533453887881</v>
      </c>
      <c r="L15">
        <f>K15/K16</f>
        <v>0.83951852588333797</v>
      </c>
      <c r="M15">
        <f>L15/0.53920518</f>
        <v>1.5569556024727693</v>
      </c>
    </row>
    <row r="16" spans="1:14">
      <c r="C16" t="s">
        <v>15</v>
      </c>
      <c r="D16">
        <v>2</v>
      </c>
      <c r="E16">
        <v>5.1989999999999998</v>
      </c>
      <c r="F16">
        <v>22.59</v>
      </c>
      <c r="G16">
        <v>0</v>
      </c>
      <c r="H16">
        <v>73</v>
      </c>
      <c r="I16">
        <v>117.43600000000001</v>
      </c>
      <c r="J16">
        <v>299334</v>
      </c>
      <c r="K16">
        <f>J16/E16</f>
        <v>57575.302942873634</v>
      </c>
    </row>
    <row r="17" spans="1:13">
      <c r="A17" t="s">
        <v>22</v>
      </c>
      <c r="B17">
        <v>3</v>
      </c>
      <c r="C17" t="s">
        <v>14</v>
      </c>
      <c r="D17">
        <v>1</v>
      </c>
      <c r="E17">
        <v>12.965</v>
      </c>
      <c r="F17">
        <v>15.51</v>
      </c>
      <c r="G17">
        <v>2</v>
      </c>
      <c r="H17">
        <v>51</v>
      </c>
      <c r="I17">
        <v>201.084</v>
      </c>
      <c r="J17">
        <v>512547</v>
      </c>
      <c r="K17">
        <f t="shared" ref="K17" si="15">J17/E17</f>
        <v>39533.127651369068</v>
      </c>
      <c r="L17">
        <f t="shared" ref="L17" si="16">K17/K18</f>
        <v>0.52176836264523729</v>
      </c>
      <c r="M17">
        <f t="shared" ref="M17" si="17">L17/0.53920518</f>
        <v>0.96766199954762555</v>
      </c>
    </row>
    <row r="18" spans="1:13">
      <c r="C18" t="s">
        <v>15</v>
      </c>
      <c r="D18">
        <v>1</v>
      </c>
      <c r="E18">
        <v>4.9480000000000004</v>
      </c>
      <c r="F18">
        <v>29.725000000000001</v>
      </c>
      <c r="G18">
        <v>9</v>
      </c>
      <c r="H18">
        <v>69</v>
      </c>
      <c r="I18">
        <v>147.08099999999999</v>
      </c>
      <c r="J18">
        <v>374898</v>
      </c>
      <c r="K18">
        <f>J18/E18</f>
        <v>75767.582861762319</v>
      </c>
    </row>
    <row r="19" spans="1:13">
      <c r="A19" t="s">
        <v>23</v>
      </c>
      <c r="B19">
        <v>4</v>
      </c>
      <c r="C19" t="s">
        <v>14</v>
      </c>
      <c r="D19">
        <v>1</v>
      </c>
      <c r="E19">
        <v>8.8810000000000002</v>
      </c>
      <c r="F19">
        <v>17.824999999999999</v>
      </c>
      <c r="G19">
        <v>0</v>
      </c>
      <c r="H19">
        <v>66</v>
      </c>
      <c r="I19">
        <v>158.297</v>
      </c>
      <c r="J19">
        <v>403485</v>
      </c>
      <c r="K19">
        <f t="shared" ref="K19" si="18">J19/E19</f>
        <v>45432.383740569756</v>
      </c>
      <c r="L19">
        <f t="shared" ref="L19" si="19">K19/K20</f>
        <v>1.0519677391520244</v>
      </c>
      <c r="M19">
        <f t="shared" ref="M19" si="20">L19/0.53920518</f>
        <v>1.950960002186968</v>
      </c>
    </row>
    <row r="20" spans="1:13">
      <c r="C20" t="s">
        <v>15</v>
      </c>
      <c r="D20">
        <v>2</v>
      </c>
      <c r="E20">
        <v>4.117</v>
      </c>
      <c r="F20">
        <v>16.943000000000001</v>
      </c>
      <c r="G20">
        <v>0</v>
      </c>
      <c r="H20">
        <v>79</v>
      </c>
      <c r="I20">
        <v>69.757000000000005</v>
      </c>
      <c r="J20">
        <v>177805</v>
      </c>
      <c r="K20">
        <f>J20/E20</f>
        <v>43188.000971581248</v>
      </c>
    </row>
    <row r="21" spans="1:13">
      <c r="A21" t="s">
        <v>24</v>
      </c>
      <c r="B21">
        <v>9</v>
      </c>
      <c r="C21" t="s">
        <v>14</v>
      </c>
      <c r="D21">
        <v>4</v>
      </c>
      <c r="E21">
        <v>10.166</v>
      </c>
      <c r="F21">
        <v>36.954999999999998</v>
      </c>
      <c r="G21">
        <v>2</v>
      </c>
      <c r="H21">
        <v>120</v>
      </c>
      <c r="I21">
        <v>375.66300000000001</v>
      </c>
      <c r="J21">
        <v>957534</v>
      </c>
      <c r="K21">
        <f>J21/E21</f>
        <v>94189.848514656696</v>
      </c>
      <c r="L21">
        <f t="shared" ref="L21" si="21">K21/K22</f>
        <v>0.86361682527620676</v>
      </c>
      <c r="M21">
        <f t="shared" ref="M21" si="22">L21/0.53920518</f>
        <v>1.6016478648743819</v>
      </c>
    </row>
    <row r="22" spans="1:13">
      <c r="C22" t="s">
        <v>15</v>
      </c>
      <c r="D22">
        <v>3</v>
      </c>
      <c r="E22">
        <v>5.6989999999999998</v>
      </c>
      <c r="F22">
        <v>42.792000000000002</v>
      </c>
      <c r="G22">
        <v>4</v>
      </c>
      <c r="H22">
        <v>124</v>
      </c>
      <c r="I22">
        <v>243.852</v>
      </c>
      <c r="J22">
        <v>621558</v>
      </c>
      <c r="K22">
        <f>J22/E22</f>
        <v>109064.39726267767</v>
      </c>
    </row>
    <row r="23" spans="1:13">
      <c r="A23" t="s">
        <v>25</v>
      </c>
      <c r="B23">
        <v>9</v>
      </c>
      <c r="C23" t="s">
        <v>14</v>
      </c>
      <c r="D23">
        <v>1</v>
      </c>
      <c r="E23">
        <v>10.734</v>
      </c>
      <c r="F23">
        <v>30.405999999999999</v>
      </c>
      <c r="G23">
        <v>0</v>
      </c>
      <c r="H23">
        <v>141</v>
      </c>
      <c r="I23">
        <v>326.39400000000001</v>
      </c>
      <c r="J23">
        <v>831950</v>
      </c>
      <c r="K23">
        <f>J23/E23</f>
        <v>77506.055524501586</v>
      </c>
      <c r="L23">
        <f t="shared" ref="L23" si="23">K23/K24</f>
        <v>0.8591322827681972</v>
      </c>
      <c r="M23">
        <f t="shared" ref="M23" si="24">L23/0.53920518</f>
        <v>1.5933309148999595</v>
      </c>
    </row>
    <row r="24" spans="1:13">
      <c r="C24" t="s">
        <v>15</v>
      </c>
      <c r="D24">
        <v>5</v>
      </c>
      <c r="E24">
        <v>2.44</v>
      </c>
      <c r="F24">
        <v>35.39</v>
      </c>
      <c r="G24">
        <v>0</v>
      </c>
      <c r="H24">
        <v>118</v>
      </c>
      <c r="I24">
        <v>86.36</v>
      </c>
      <c r="J24">
        <v>220123</v>
      </c>
      <c r="K24">
        <f>J24/E24</f>
        <v>90214.344262295082</v>
      </c>
    </row>
    <row r="25" spans="1:13">
      <c r="A25" t="s">
        <v>26</v>
      </c>
      <c r="B25">
        <v>10</v>
      </c>
      <c r="C25" t="s">
        <v>14</v>
      </c>
      <c r="D25">
        <v>1</v>
      </c>
      <c r="E25">
        <v>8.4849999999999994</v>
      </c>
      <c r="F25">
        <v>48.41</v>
      </c>
      <c r="G25">
        <v>0</v>
      </c>
      <c r="H25">
        <v>180</v>
      </c>
      <c r="I25">
        <v>410.75200000000001</v>
      </c>
      <c r="J25">
        <v>2052063</v>
      </c>
      <c r="K25">
        <f t="shared" ref="K25" si="25">J25/E25</f>
        <v>241845.96346493813</v>
      </c>
      <c r="L25">
        <f t="shared" ref="L25" si="26">K25/K26</f>
        <v>0.65863298392835423</v>
      </c>
      <c r="M25">
        <f t="shared" ref="M25" si="27">L25/0.53920518</f>
        <v>1.2214886064862254</v>
      </c>
    </row>
    <row r="26" spans="1:13">
      <c r="C26" t="s">
        <v>15</v>
      </c>
      <c r="D26">
        <v>6</v>
      </c>
      <c r="E26">
        <v>1.8779999999999999</v>
      </c>
      <c r="F26">
        <v>73.486000000000004</v>
      </c>
      <c r="G26">
        <v>6</v>
      </c>
      <c r="H26">
        <v>197</v>
      </c>
      <c r="I26">
        <v>138.03200000000001</v>
      </c>
      <c r="J26">
        <v>689590</v>
      </c>
      <c r="K26">
        <f>J26/E26</f>
        <v>367193.82321618748</v>
      </c>
    </row>
    <row r="27" spans="1:13">
      <c r="A27" t="s">
        <v>27</v>
      </c>
      <c r="B27">
        <v>10</v>
      </c>
      <c r="C27" t="s">
        <v>14</v>
      </c>
      <c r="D27">
        <v>1</v>
      </c>
      <c r="E27">
        <v>8.2390000000000008</v>
      </c>
      <c r="F27">
        <v>53.497999999999998</v>
      </c>
      <c r="G27">
        <v>0</v>
      </c>
      <c r="H27">
        <v>178</v>
      </c>
      <c r="I27">
        <v>440.78399999999999</v>
      </c>
      <c r="J27">
        <v>2202102</v>
      </c>
      <c r="K27">
        <f t="shared" ref="K27" si="28">J27/E27</f>
        <v>267277.82497875951</v>
      </c>
      <c r="L27">
        <f t="shared" ref="L27" si="29">K27/K28</f>
        <v>1.1779085338520898</v>
      </c>
      <c r="M27">
        <f t="shared" ref="M27" si="30">L27/0.53920518</f>
        <v>2.1845274814535163</v>
      </c>
    </row>
    <row r="28" spans="1:13">
      <c r="C28" t="s">
        <v>15</v>
      </c>
      <c r="D28">
        <v>7</v>
      </c>
      <c r="E28">
        <v>2.5990000000000002</v>
      </c>
      <c r="F28">
        <v>45.423999999999999</v>
      </c>
      <c r="G28">
        <v>2</v>
      </c>
      <c r="H28">
        <v>144</v>
      </c>
      <c r="I28">
        <v>118.045</v>
      </c>
      <c r="J28">
        <v>589736</v>
      </c>
      <c r="K28">
        <f>J28/E28</f>
        <v>226908.81108118506</v>
      </c>
    </row>
    <row r="29" spans="1:13">
      <c r="A29" t="s">
        <v>28</v>
      </c>
      <c r="B29">
        <v>13</v>
      </c>
      <c r="C29" t="s">
        <v>14</v>
      </c>
      <c r="D29">
        <v>1</v>
      </c>
      <c r="E29">
        <v>7.0839999999999996</v>
      </c>
      <c r="F29">
        <v>35.487000000000002</v>
      </c>
      <c r="G29">
        <v>0</v>
      </c>
      <c r="H29">
        <v>179</v>
      </c>
      <c r="I29">
        <v>251.37899999999999</v>
      </c>
      <c r="J29">
        <v>1255856</v>
      </c>
      <c r="K29">
        <f t="shared" ref="K29" si="31">J29/E29</f>
        <v>177280.6324110672</v>
      </c>
      <c r="L29">
        <f t="shared" ref="L29" si="32">K29/K30</f>
        <v>0.85081117218437441</v>
      </c>
      <c r="M29">
        <f t="shared" ref="M29" si="33">L29/0.53920518</f>
        <v>1.5778987364037833</v>
      </c>
    </row>
    <row r="30" spans="1:13">
      <c r="C30" t="s">
        <v>15</v>
      </c>
      <c r="D30">
        <v>8</v>
      </c>
      <c r="E30">
        <v>1.5329999999999999</v>
      </c>
      <c r="F30">
        <v>41.695</v>
      </c>
      <c r="G30">
        <v>2</v>
      </c>
      <c r="H30">
        <v>122</v>
      </c>
      <c r="I30">
        <v>63.938000000000002</v>
      </c>
      <c r="J30">
        <v>319426</v>
      </c>
      <c r="K30">
        <f>J30/E30</f>
        <v>208366.60143509461</v>
      </c>
    </row>
    <row r="31" spans="1:13">
      <c r="A31" t="s">
        <v>29</v>
      </c>
      <c r="B31">
        <v>12</v>
      </c>
      <c r="C31" t="s">
        <v>14</v>
      </c>
      <c r="D31">
        <v>1</v>
      </c>
      <c r="E31">
        <v>5.4859999999999998</v>
      </c>
      <c r="F31">
        <v>48.426000000000002</v>
      </c>
      <c r="G31">
        <v>0</v>
      </c>
      <c r="H31">
        <v>197</v>
      </c>
      <c r="I31">
        <v>265.67899999999997</v>
      </c>
      <c r="J31">
        <v>1327299</v>
      </c>
      <c r="K31">
        <f t="shared" ref="K31" si="34">J31/E31</f>
        <v>241942.94567991252</v>
      </c>
      <c r="L31">
        <f t="shared" ref="L31" si="35">K31/K32</f>
        <v>0.7997475551842318</v>
      </c>
      <c r="M31">
        <f t="shared" ref="M31" si="36">L31/0.53920518</f>
        <v>1.48319709240225</v>
      </c>
    </row>
    <row r="32" spans="1:13">
      <c r="C32" t="s">
        <v>15</v>
      </c>
      <c r="D32">
        <v>9</v>
      </c>
      <c r="E32">
        <v>1.843</v>
      </c>
      <c r="F32">
        <v>60.570999999999998</v>
      </c>
      <c r="G32">
        <v>8</v>
      </c>
      <c r="H32">
        <v>162</v>
      </c>
      <c r="I32">
        <v>111.60299999999999</v>
      </c>
      <c r="J32">
        <v>557552</v>
      </c>
      <c r="K32">
        <f>J32/E32</f>
        <v>302524.14541508409</v>
      </c>
    </row>
    <row r="33" spans="1:13">
      <c r="A33" t="s">
        <v>30</v>
      </c>
      <c r="B33">
        <v>12</v>
      </c>
      <c r="C33" t="s">
        <v>14</v>
      </c>
      <c r="D33">
        <v>3</v>
      </c>
      <c r="E33">
        <v>9.423</v>
      </c>
      <c r="F33">
        <v>63.375</v>
      </c>
      <c r="G33">
        <v>4</v>
      </c>
      <c r="H33">
        <v>186</v>
      </c>
      <c r="I33">
        <v>597.20299999999997</v>
      </c>
      <c r="J33">
        <v>2983549</v>
      </c>
      <c r="K33">
        <f t="shared" ref="K33" si="37">J33/E33</f>
        <v>316624.1112172344</v>
      </c>
      <c r="L33">
        <f t="shared" ref="L33" si="38">K33/K34</f>
        <v>0.84179834689592226</v>
      </c>
      <c r="M33">
        <f t="shared" ref="M33" si="39">L33/0.53920518</f>
        <v>1.561183716550947</v>
      </c>
    </row>
    <row r="34" spans="1:13">
      <c r="C34" t="s">
        <v>15</v>
      </c>
      <c r="D34">
        <v>10</v>
      </c>
      <c r="E34">
        <v>2.1760000000000002</v>
      </c>
      <c r="F34">
        <v>75.281000000000006</v>
      </c>
      <c r="G34">
        <v>14</v>
      </c>
      <c r="H34">
        <v>173</v>
      </c>
      <c r="I34">
        <v>163.82599999999999</v>
      </c>
      <c r="J34">
        <v>818455</v>
      </c>
      <c r="K34">
        <f>J34/E34</f>
        <v>376128.2169117647</v>
      </c>
    </row>
    <row r="35" spans="1:13">
      <c r="A35" t="s">
        <v>31</v>
      </c>
      <c r="B35">
        <v>17</v>
      </c>
      <c r="C35" t="s">
        <v>14</v>
      </c>
      <c r="D35">
        <v>1</v>
      </c>
      <c r="E35">
        <v>7.9939999999999998</v>
      </c>
      <c r="F35">
        <v>42.551000000000002</v>
      </c>
      <c r="G35">
        <v>1</v>
      </c>
      <c r="H35">
        <v>160</v>
      </c>
      <c r="I35">
        <v>340.149</v>
      </c>
      <c r="J35">
        <v>1699341</v>
      </c>
      <c r="K35">
        <f t="shared" ref="K35" si="40">J35/E35</f>
        <v>212577.05779334501</v>
      </c>
      <c r="L35">
        <f t="shared" ref="L35" si="41">K35/K36</f>
        <v>1.2368328915653657</v>
      </c>
      <c r="M35">
        <f t="shared" ref="M35" si="42">L35/0.53920518</f>
        <v>2.2938075104645059</v>
      </c>
    </row>
    <row r="36" spans="1:13">
      <c r="C36" t="s">
        <v>15</v>
      </c>
      <c r="D36">
        <v>1</v>
      </c>
      <c r="E36">
        <v>1.72</v>
      </c>
      <c r="F36">
        <v>34.405999999999999</v>
      </c>
      <c r="G36">
        <v>2</v>
      </c>
      <c r="H36">
        <v>104</v>
      </c>
      <c r="I36">
        <v>59.173000000000002</v>
      </c>
      <c r="J36">
        <v>295620</v>
      </c>
      <c r="K36">
        <f>J36/E36</f>
        <v>171872.09302325582</v>
      </c>
    </row>
    <row r="37" spans="1:13">
      <c r="A37" t="s">
        <v>32</v>
      </c>
      <c r="B37">
        <v>9</v>
      </c>
      <c r="C37" t="s">
        <v>14</v>
      </c>
      <c r="D37">
        <v>1</v>
      </c>
      <c r="E37">
        <v>8.0329999999999995</v>
      </c>
      <c r="F37">
        <v>24.175000000000001</v>
      </c>
      <c r="G37">
        <v>0</v>
      </c>
      <c r="H37">
        <v>139</v>
      </c>
      <c r="I37">
        <v>194.18700000000001</v>
      </c>
      <c r="J37">
        <v>970133</v>
      </c>
      <c r="K37">
        <f t="shared" ref="K37" si="43">J37/E37</f>
        <v>120768.4551226192</v>
      </c>
      <c r="L37">
        <f t="shared" ref="L37" si="44">K37/K38</f>
        <v>0.55856742986370911</v>
      </c>
      <c r="M37">
        <f t="shared" ref="M37" si="45">L37/0.53920518</f>
        <v>1.0359088721360377</v>
      </c>
    </row>
    <row r="38" spans="1:13">
      <c r="C38" t="s">
        <v>15</v>
      </c>
      <c r="D38">
        <v>1</v>
      </c>
      <c r="E38">
        <v>1.6819999999999999</v>
      </c>
      <c r="F38">
        <v>43.289000000000001</v>
      </c>
      <c r="G38">
        <v>3</v>
      </c>
      <c r="H38">
        <v>122</v>
      </c>
      <c r="I38">
        <v>72.793000000000006</v>
      </c>
      <c r="J38">
        <v>363667</v>
      </c>
      <c r="K38">
        <f>J38/E38</f>
        <v>216211.05826397147</v>
      </c>
    </row>
    <row r="40" spans="1:13">
      <c r="A40" t="s">
        <v>33</v>
      </c>
      <c r="B40" t="s">
        <v>34</v>
      </c>
      <c r="C40" t="s">
        <v>14</v>
      </c>
      <c r="D40">
        <v>1</v>
      </c>
      <c r="E40">
        <v>9.4009999999999998</v>
      </c>
      <c r="F40">
        <v>33.514000000000003</v>
      </c>
      <c r="G40">
        <v>6</v>
      </c>
      <c r="H40">
        <v>110</v>
      </c>
      <c r="I40">
        <v>315.07100000000003</v>
      </c>
      <c r="J40">
        <v>803089</v>
      </c>
      <c r="K40">
        <f>J40/E40</f>
        <v>85425.912137006701</v>
      </c>
      <c r="L40">
        <f>K40/K41</f>
        <v>0.88447298873328417</v>
      </c>
      <c r="M40">
        <f>L40/0.53920518</f>
        <v>1.6403273216575631</v>
      </c>
    </row>
    <row r="41" spans="1:13">
      <c r="C41" t="s">
        <v>15</v>
      </c>
      <c r="D41">
        <v>1</v>
      </c>
      <c r="E41">
        <v>1.8340000000000001</v>
      </c>
      <c r="F41">
        <v>37.89</v>
      </c>
      <c r="G41">
        <v>10</v>
      </c>
      <c r="H41">
        <v>102</v>
      </c>
      <c r="I41">
        <v>69.494</v>
      </c>
      <c r="J41">
        <v>177135</v>
      </c>
      <c r="K41">
        <f>J41/E41</f>
        <v>96583.969465648857</v>
      </c>
    </row>
    <row r="42" spans="1:13">
      <c r="A42" t="s">
        <v>35</v>
      </c>
      <c r="B42">
        <v>8</v>
      </c>
      <c r="C42" t="s">
        <v>14</v>
      </c>
      <c r="D42">
        <v>1</v>
      </c>
      <c r="E42">
        <v>14.553000000000001</v>
      </c>
      <c r="F42">
        <v>23.225000000000001</v>
      </c>
      <c r="G42">
        <v>0</v>
      </c>
      <c r="H42">
        <v>87</v>
      </c>
      <c r="I42">
        <v>337.995</v>
      </c>
      <c r="J42">
        <v>347300</v>
      </c>
      <c r="K42">
        <f t="shared" ref="K42:K57" si="46">J42/E42</f>
        <v>23864.49529306672</v>
      </c>
      <c r="L42">
        <f t="shared" ref="L42" si="47">K42/K43</f>
        <v>0.84540800420002526</v>
      </c>
      <c r="M42">
        <f t="shared" ref="M42" si="48">L42/0.53920518</f>
        <v>1.5678781205329395</v>
      </c>
    </row>
    <row r="43" spans="1:13">
      <c r="C43" t="s">
        <v>15</v>
      </c>
      <c r="D43">
        <v>2</v>
      </c>
      <c r="E43">
        <v>7.9080000000000004</v>
      </c>
      <c r="F43">
        <v>27.471</v>
      </c>
      <c r="G43">
        <v>0</v>
      </c>
      <c r="H43">
        <v>92</v>
      </c>
      <c r="I43">
        <v>217.249</v>
      </c>
      <c r="J43">
        <v>223230</v>
      </c>
      <c r="K43">
        <f t="shared" si="46"/>
        <v>28228.376327769347</v>
      </c>
    </row>
    <row r="44" spans="1:13">
      <c r="A44" t="s">
        <v>36</v>
      </c>
      <c r="B44">
        <v>6</v>
      </c>
      <c r="C44" t="s">
        <v>14</v>
      </c>
      <c r="D44">
        <v>1</v>
      </c>
      <c r="E44">
        <v>12.362</v>
      </c>
      <c r="F44">
        <v>11.188000000000001</v>
      </c>
      <c r="G44">
        <v>0</v>
      </c>
      <c r="H44">
        <v>62</v>
      </c>
      <c r="I44">
        <v>138.304</v>
      </c>
      <c r="J44">
        <v>142111</v>
      </c>
      <c r="K44">
        <f t="shared" si="46"/>
        <v>11495.793560912474</v>
      </c>
      <c r="L44">
        <f t="shared" ref="L44" si="49">K44/K45</f>
        <v>0.70532606133672304</v>
      </c>
      <c r="M44">
        <f t="shared" ref="M44" si="50">L44/0.53920518</f>
        <v>1.3080847282229802</v>
      </c>
    </row>
    <row r="45" spans="1:13">
      <c r="C45" t="s">
        <v>15</v>
      </c>
      <c r="D45">
        <v>2</v>
      </c>
      <c r="E45">
        <v>14.711</v>
      </c>
      <c r="F45">
        <v>15.862</v>
      </c>
      <c r="G45">
        <v>0</v>
      </c>
      <c r="H45">
        <v>73</v>
      </c>
      <c r="I45">
        <v>233.34399999999999</v>
      </c>
      <c r="J45">
        <v>239768</v>
      </c>
      <c r="K45">
        <f t="shared" si="46"/>
        <v>16298.552103867854</v>
      </c>
    </row>
    <row r="46" spans="1:13">
      <c r="A46" t="s">
        <v>37</v>
      </c>
      <c r="B46">
        <v>5</v>
      </c>
      <c r="C46" t="s">
        <v>14</v>
      </c>
      <c r="D46">
        <v>1</v>
      </c>
      <c r="E46">
        <v>18.405000000000001</v>
      </c>
      <c r="F46">
        <v>21.152000000000001</v>
      </c>
      <c r="G46">
        <v>0</v>
      </c>
      <c r="H46">
        <v>83</v>
      </c>
      <c r="I46">
        <v>389.30700000000002</v>
      </c>
      <c r="J46">
        <v>400024</v>
      </c>
      <c r="K46">
        <f t="shared" si="46"/>
        <v>21734.52866069003</v>
      </c>
      <c r="L46">
        <f t="shared" ref="L46" si="51">K46/K47</f>
        <v>0.64359909375252089</v>
      </c>
      <c r="M46">
        <f t="shared" ref="M46" si="52">L46/0.53920518</f>
        <v>1.1936070305417337</v>
      </c>
    </row>
    <row r="47" spans="1:13">
      <c r="C47" t="s">
        <v>15</v>
      </c>
      <c r="D47">
        <v>2</v>
      </c>
      <c r="E47">
        <v>10.448</v>
      </c>
      <c r="F47">
        <v>32.863999999999997</v>
      </c>
      <c r="G47">
        <v>0</v>
      </c>
      <c r="H47">
        <v>98</v>
      </c>
      <c r="I47">
        <v>343.37900000000002</v>
      </c>
      <c r="J47">
        <v>352832</v>
      </c>
      <c r="K47">
        <f t="shared" si="46"/>
        <v>33770.290964777945</v>
      </c>
    </row>
    <row r="48" spans="1:13">
      <c r="A48" t="s">
        <v>38</v>
      </c>
      <c r="B48">
        <v>13</v>
      </c>
      <c r="C48" t="s">
        <v>14</v>
      </c>
      <c r="D48">
        <v>1</v>
      </c>
      <c r="E48">
        <v>7.9539999999999997</v>
      </c>
      <c r="F48">
        <v>47.209000000000003</v>
      </c>
      <c r="G48">
        <v>2</v>
      </c>
      <c r="H48">
        <v>129</v>
      </c>
      <c r="I48">
        <v>375.50099999999998</v>
      </c>
      <c r="J48">
        <v>555607</v>
      </c>
      <c r="K48">
        <f t="shared" si="46"/>
        <v>69852.527030424942</v>
      </c>
      <c r="L48">
        <f t="shared" ref="L48" si="53">K48/K49</f>
        <v>0.80975764690579577</v>
      </c>
      <c r="M48">
        <f t="shared" ref="M48" si="54">L48/0.53920518</f>
        <v>1.5017616242221483</v>
      </c>
    </row>
    <row r="49" spans="1:13">
      <c r="C49" t="s">
        <v>15</v>
      </c>
      <c r="D49">
        <v>2</v>
      </c>
      <c r="E49">
        <v>6.0380000000000003</v>
      </c>
      <c r="F49">
        <v>58.301000000000002</v>
      </c>
      <c r="G49">
        <v>5</v>
      </c>
      <c r="H49">
        <v>147</v>
      </c>
      <c r="I49">
        <v>352.017</v>
      </c>
      <c r="J49">
        <v>520859</v>
      </c>
      <c r="K49">
        <f t="shared" si="46"/>
        <v>86263.497846969185</v>
      </c>
    </row>
    <row r="50" spans="1:13">
      <c r="A50" t="s">
        <v>39</v>
      </c>
      <c r="B50">
        <v>4</v>
      </c>
      <c r="C50" t="s">
        <v>14</v>
      </c>
      <c r="D50">
        <v>1</v>
      </c>
      <c r="E50">
        <v>17.227</v>
      </c>
      <c r="F50">
        <v>10.414</v>
      </c>
      <c r="G50">
        <v>0</v>
      </c>
      <c r="H50">
        <v>67</v>
      </c>
      <c r="I50">
        <v>179.40299999999999</v>
      </c>
      <c r="J50">
        <v>184342</v>
      </c>
      <c r="K50">
        <f t="shared" si="46"/>
        <v>10700.760434202124</v>
      </c>
      <c r="L50">
        <f t="shared" ref="L50" si="55">K50/K51</f>
        <v>0.94605448097437828</v>
      </c>
      <c r="M50">
        <f t="shared" ref="M50" si="56">L50/0.53920518</f>
        <v>1.754535223445699</v>
      </c>
    </row>
    <row r="51" spans="1:13">
      <c r="C51" t="s">
        <v>15</v>
      </c>
      <c r="D51">
        <v>2</v>
      </c>
      <c r="E51">
        <v>15.492000000000001</v>
      </c>
      <c r="F51">
        <v>11.007999999999999</v>
      </c>
      <c r="G51">
        <v>0</v>
      </c>
      <c r="H51">
        <v>75</v>
      </c>
      <c r="I51">
        <v>170.53399999999999</v>
      </c>
      <c r="J51">
        <v>175229</v>
      </c>
      <c r="K51">
        <f t="shared" si="46"/>
        <v>11310.934675961786</v>
      </c>
    </row>
    <row r="52" spans="1:13">
      <c r="A52" t="s">
        <v>40</v>
      </c>
      <c r="B52">
        <v>6</v>
      </c>
      <c r="C52" t="s">
        <v>14</v>
      </c>
      <c r="D52">
        <v>1</v>
      </c>
      <c r="E52">
        <v>8.0410000000000004</v>
      </c>
      <c r="F52">
        <v>14.436</v>
      </c>
      <c r="G52">
        <v>0</v>
      </c>
      <c r="H52">
        <v>120</v>
      </c>
      <c r="I52">
        <v>116.08</v>
      </c>
      <c r="J52">
        <v>233781</v>
      </c>
      <c r="K52">
        <f t="shared" si="46"/>
        <v>29073.622683745802</v>
      </c>
      <c r="L52">
        <f t="shared" ref="L52" si="57">K52/K53</f>
        <v>0.73116114056859971</v>
      </c>
      <c r="M52">
        <f t="shared" ref="M52" si="58">L52/0.53920518</f>
        <v>1.3559979905397048</v>
      </c>
    </row>
    <row r="53" spans="1:13">
      <c r="C53" t="s">
        <v>15</v>
      </c>
      <c r="D53">
        <v>2</v>
      </c>
      <c r="E53">
        <v>4.383</v>
      </c>
      <c r="F53">
        <v>19.742000000000001</v>
      </c>
      <c r="G53">
        <v>0</v>
      </c>
      <c r="H53">
        <v>239</v>
      </c>
      <c r="I53">
        <v>86.537999999999997</v>
      </c>
      <c r="J53">
        <v>174284</v>
      </c>
      <c r="K53">
        <f t="shared" si="46"/>
        <v>39763.632215377598</v>
      </c>
    </row>
    <row r="54" spans="1:13">
      <c r="A54" t="s">
        <v>41</v>
      </c>
      <c r="B54">
        <v>7</v>
      </c>
      <c r="C54" t="s">
        <v>14</v>
      </c>
      <c r="D54">
        <v>1</v>
      </c>
      <c r="E54">
        <v>9.4990000000000006</v>
      </c>
      <c r="F54">
        <v>18.114000000000001</v>
      </c>
      <c r="G54">
        <v>0</v>
      </c>
      <c r="H54">
        <v>133</v>
      </c>
      <c r="I54">
        <v>172.06100000000001</v>
      </c>
      <c r="J54">
        <v>346524</v>
      </c>
      <c r="K54">
        <f t="shared" si="46"/>
        <v>36480.050531634908</v>
      </c>
      <c r="L54">
        <f t="shared" ref="L54" si="59">K54/K55</f>
        <v>0.78576954705799584</v>
      </c>
      <c r="M54">
        <f t="shared" ref="M54" si="60">L54/0.53920518</f>
        <v>1.4572737358680343</v>
      </c>
    </row>
    <row r="55" spans="1:13">
      <c r="C55" t="s">
        <v>15</v>
      </c>
      <c r="D55">
        <v>2</v>
      </c>
      <c r="E55">
        <v>3.09</v>
      </c>
      <c r="F55">
        <v>23.053000000000001</v>
      </c>
      <c r="G55">
        <v>0</v>
      </c>
      <c r="H55">
        <v>159</v>
      </c>
      <c r="I55">
        <v>71.230999999999995</v>
      </c>
      <c r="J55">
        <v>143456</v>
      </c>
      <c r="K55">
        <f t="shared" si="46"/>
        <v>46425.889967637544</v>
      </c>
    </row>
    <row r="56" spans="1:13">
      <c r="A56" t="s">
        <v>42</v>
      </c>
      <c r="B56">
        <v>11</v>
      </c>
      <c r="C56" t="s">
        <v>14</v>
      </c>
      <c r="D56">
        <v>1</v>
      </c>
      <c r="E56">
        <v>8.7249999999999996</v>
      </c>
      <c r="F56">
        <v>14.163</v>
      </c>
      <c r="G56">
        <v>0</v>
      </c>
      <c r="H56">
        <v>86</v>
      </c>
      <c r="I56">
        <v>123.56399999999999</v>
      </c>
      <c r="J56">
        <v>248852</v>
      </c>
      <c r="K56">
        <f t="shared" si="46"/>
        <v>28521.719197707738</v>
      </c>
      <c r="L56">
        <f t="shared" ref="L56" si="61">K56/K57</f>
        <v>0.69425938677464227</v>
      </c>
      <c r="M56">
        <f t="shared" ref="M56" si="62">L56/0.53920518</f>
        <v>1.2875606773188684</v>
      </c>
    </row>
    <row r="57" spans="1:13">
      <c r="C57" t="s">
        <v>15</v>
      </c>
      <c r="D57">
        <v>2</v>
      </c>
      <c r="E57">
        <v>3.9039999999999999</v>
      </c>
      <c r="F57">
        <v>20.396999999999998</v>
      </c>
      <c r="G57">
        <v>0</v>
      </c>
      <c r="H57">
        <v>86</v>
      </c>
      <c r="I57">
        <v>79.637</v>
      </c>
      <c r="J57">
        <v>160385</v>
      </c>
      <c r="K57">
        <f t="shared" si="46"/>
        <v>41082.223360655742</v>
      </c>
    </row>
    <row r="59" spans="1:13">
      <c r="A59" t="s">
        <v>43</v>
      </c>
      <c r="B59">
        <v>7</v>
      </c>
      <c r="C59" t="s">
        <v>14</v>
      </c>
      <c r="D59">
        <v>1</v>
      </c>
      <c r="E59">
        <v>11.632</v>
      </c>
      <c r="F59">
        <v>12.779</v>
      </c>
      <c r="G59">
        <v>0</v>
      </c>
      <c r="H59">
        <v>60</v>
      </c>
      <c r="I59">
        <v>148.63999999999999</v>
      </c>
      <c r="J59">
        <v>378870</v>
      </c>
      <c r="K59">
        <f>J59/E59</f>
        <v>32571.354883081156</v>
      </c>
      <c r="L59">
        <f>K59/K60</f>
        <v>0.92596245153592227</v>
      </c>
      <c r="M59">
        <f>L59/0.53920518</f>
        <v>1.7172729155456599</v>
      </c>
    </row>
    <row r="60" spans="1:13">
      <c r="C60" t="s">
        <v>15</v>
      </c>
      <c r="D60">
        <v>1</v>
      </c>
      <c r="E60">
        <v>6.734</v>
      </c>
      <c r="F60">
        <v>13.801</v>
      </c>
      <c r="G60">
        <v>0</v>
      </c>
      <c r="H60">
        <v>60</v>
      </c>
      <c r="I60">
        <v>92.930999999999997</v>
      </c>
      <c r="J60">
        <v>236873</v>
      </c>
      <c r="K60">
        <f>J60/E60</f>
        <v>35175.675675675673</v>
      </c>
    </row>
    <row r="61" spans="1:13">
      <c r="A61" t="s">
        <v>44</v>
      </c>
      <c r="B61">
        <v>8</v>
      </c>
      <c r="C61" t="s">
        <v>14</v>
      </c>
      <c r="D61">
        <v>1</v>
      </c>
      <c r="E61">
        <v>8.1809999999999992</v>
      </c>
      <c r="F61">
        <v>11.733000000000001</v>
      </c>
      <c r="G61">
        <v>0</v>
      </c>
      <c r="H61">
        <v>53</v>
      </c>
      <c r="I61">
        <v>95.989000000000004</v>
      </c>
      <c r="J61">
        <v>244668</v>
      </c>
      <c r="K61">
        <f t="shared" ref="K61" si="63">J61/E61</f>
        <v>29906.857352401908</v>
      </c>
      <c r="L61">
        <f t="shared" ref="L61" si="64">K61/K62</f>
        <v>0.93590509700314917</v>
      </c>
      <c r="M61">
        <f t="shared" ref="M61" si="65">L61/0.53920518</f>
        <v>1.7357123627839577</v>
      </c>
    </row>
    <row r="62" spans="1:13">
      <c r="C62" t="s">
        <v>15</v>
      </c>
      <c r="D62">
        <v>1</v>
      </c>
      <c r="E62">
        <v>4.6900000000000004</v>
      </c>
      <c r="F62">
        <v>12.537000000000001</v>
      </c>
      <c r="G62">
        <v>0</v>
      </c>
      <c r="H62">
        <v>67</v>
      </c>
      <c r="I62">
        <v>58.796999999999997</v>
      </c>
      <c r="J62">
        <v>149869</v>
      </c>
      <c r="K62">
        <f>J62/E62</f>
        <v>31955.010660980806</v>
      </c>
    </row>
    <row r="63" spans="1:13">
      <c r="A63" t="s">
        <v>45</v>
      </c>
      <c r="B63">
        <v>9</v>
      </c>
      <c r="C63" t="s">
        <v>14</v>
      </c>
      <c r="D63">
        <v>1</v>
      </c>
      <c r="E63">
        <v>13.003</v>
      </c>
      <c r="F63">
        <v>47.287999999999997</v>
      </c>
      <c r="G63">
        <v>4</v>
      </c>
      <c r="H63">
        <v>139</v>
      </c>
      <c r="I63">
        <v>614.87599999999998</v>
      </c>
      <c r="J63">
        <v>2256863</v>
      </c>
      <c r="K63">
        <f t="shared" ref="K63" si="66">J63/E63</f>
        <v>173564.79274013688</v>
      </c>
      <c r="L63">
        <f t="shared" ref="L63" si="67">K63/K64</f>
        <v>0.75771018809528223</v>
      </c>
      <c r="M63">
        <f t="shared" ref="M63" si="68">L63/0.53920518</f>
        <v>1.4052353653117395</v>
      </c>
    </row>
    <row r="64" spans="1:13">
      <c r="C64" t="s">
        <v>15</v>
      </c>
      <c r="D64">
        <v>1</v>
      </c>
      <c r="E64">
        <v>4.8860000000000001</v>
      </c>
      <c r="F64">
        <v>62.414000000000001</v>
      </c>
      <c r="G64">
        <v>5</v>
      </c>
      <c r="H64">
        <v>160</v>
      </c>
      <c r="I64">
        <v>304.92599999999999</v>
      </c>
      <c r="J64">
        <v>1119211</v>
      </c>
      <c r="K64">
        <f>J64/E64</f>
        <v>229064.87924682765</v>
      </c>
    </row>
    <row r="65" spans="1:13">
      <c r="A65" t="s">
        <v>46</v>
      </c>
      <c r="B65">
        <v>7</v>
      </c>
      <c r="C65" t="s">
        <v>14</v>
      </c>
      <c r="D65">
        <v>1</v>
      </c>
      <c r="E65">
        <v>21.905000000000001</v>
      </c>
      <c r="F65">
        <v>55.046999999999997</v>
      </c>
      <c r="G65">
        <v>3</v>
      </c>
      <c r="H65">
        <v>148</v>
      </c>
      <c r="I65">
        <v>1205.788</v>
      </c>
      <c r="J65">
        <v>3073451</v>
      </c>
      <c r="K65">
        <f t="shared" ref="K65" si="69">J65/E65</f>
        <v>140308.19447614698</v>
      </c>
      <c r="L65">
        <f t="shared" ref="L65" si="70">K65/K66</f>
        <v>0.74781847452940975</v>
      </c>
      <c r="M65">
        <f t="shared" ref="M65" si="71">L65/0.53920518</f>
        <v>1.3868903754400317</v>
      </c>
    </row>
    <row r="66" spans="1:13">
      <c r="C66" t="s">
        <v>15</v>
      </c>
      <c r="D66">
        <v>1</v>
      </c>
      <c r="E66">
        <v>11.246</v>
      </c>
      <c r="F66">
        <v>73.606999999999999</v>
      </c>
      <c r="G66">
        <v>4</v>
      </c>
      <c r="H66">
        <v>168</v>
      </c>
      <c r="I66">
        <v>827.80799999999999</v>
      </c>
      <c r="J66">
        <v>2110012</v>
      </c>
      <c r="K66">
        <f>J66/E66</f>
        <v>187623.33274052996</v>
      </c>
    </row>
    <row r="67" spans="1:13">
      <c r="A67" t="s">
        <v>47</v>
      </c>
      <c r="B67">
        <v>9</v>
      </c>
      <c r="C67" t="s">
        <v>14</v>
      </c>
      <c r="D67">
        <v>1</v>
      </c>
      <c r="E67">
        <v>9.0060000000000002</v>
      </c>
      <c r="F67">
        <v>24.457000000000001</v>
      </c>
      <c r="G67">
        <v>1</v>
      </c>
      <c r="H67">
        <v>72</v>
      </c>
      <c r="I67">
        <v>220.25200000000001</v>
      </c>
      <c r="J67">
        <v>561403</v>
      </c>
      <c r="K67">
        <f t="shared" ref="K67" si="72">J67/E67</f>
        <v>62336.553408838554</v>
      </c>
      <c r="L67">
        <f t="shared" ref="L67" si="73">K67/K68</f>
        <v>0.77091787660781141</v>
      </c>
      <c r="M67">
        <f t="shared" ref="M67" si="74">L67/0.53920518</f>
        <v>1.4297301012720454</v>
      </c>
    </row>
    <row r="68" spans="1:13">
      <c r="C68" t="s">
        <v>15</v>
      </c>
      <c r="D68">
        <v>1</v>
      </c>
      <c r="E68">
        <v>8.06</v>
      </c>
      <c r="F68">
        <v>31.724</v>
      </c>
      <c r="G68">
        <v>3</v>
      </c>
      <c r="H68">
        <v>96</v>
      </c>
      <c r="I68">
        <v>255.69</v>
      </c>
      <c r="J68">
        <v>651733</v>
      </c>
      <c r="K68">
        <f>J68/E68</f>
        <v>80860.173697270468</v>
      </c>
    </row>
    <row r="69" spans="1:13">
      <c r="A69" t="s">
        <v>48</v>
      </c>
      <c r="B69">
        <v>8</v>
      </c>
      <c r="C69" t="s">
        <v>14</v>
      </c>
      <c r="D69">
        <v>1</v>
      </c>
      <c r="E69">
        <v>13.121</v>
      </c>
      <c r="F69">
        <v>11.762</v>
      </c>
      <c r="G69">
        <v>0</v>
      </c>
      <c r="H69">
        <v>55</v>
      </c>
      <c r="I69">
        <v>154.328</v>
      </c>
      <c r="J69">
        <v>393370</v>
      </c>
      <c r="K69">
        <f t="shared" ref="K69" si="75">J69/E69</f>
        <v>29980.184437161799</v>
      </c>
      <c r="L69">
        <f t="shared" ref="L69" si="76">K69/K70</f>
        <v>0.96588515155865184</v>
      </c>
      <c r="M69">
        <f t="shared" ref="M69" si="77">L69/0.53920518</f>
        <v>1.7913128200264172</v>
      </c>
    </row>
    <row r="70" spans="1:13">
      <c r="C70" t="s">
        <v>15</v>
      </c>
      <c r="D70">
        <v>1</v>
      </c>
      <c r="E70">
        <v>7.1139999999999999</v>
      </c>
      <c r="F70">
        <v>12.178000000000001</v>
      </c>
      <c r="G70">
        <v>0</v>
      </c>
      <c r="H70">
        <v>63</v>
      </c>
      <c r="I70">
        <v>86.63</v>
      </c>
      <c r="J70">
        <v>220812</v>
      </c>
      <c r="K70">
        <f>J70/E70</f>
        <v>31039.077874613438</v>
      </c>
    </row>
    <row r="71" spans="1:13">
      <c r="A71" t="s">
        <v>49</v>
      </c>
      <c r="B71">
        <v>10</v>
      </c>
      <c r="C71" t="s">
        <v>14</v>
      </c>
      <c r="D71">
        <v>1</v>
      </c>
      <c r="E71">
        <v>11.839</v>
      </c>
      <c r="F71">
        <v>52.704000000000001</v>
      </c>
      <c r="G71">
        <v>6</v>
      </c>
      <c r="H71">
        <v>144</v>
      </c>
      <c r="I71">
        <v>623.97699999999998</v>
      </c>
      <c r="J71">
        <v>1590463</v>
      </c>
      <c r="K71">
        <f t="shared" ref="K71" si="78">J71/E71</f>
        <v>134340.99163780725</v>
      </c>
      <c r="L71">
        <f t="shared" ref="L71" si="79">K71/K72</f>
        <v>0.68791413747099039</v>
      </c>
      <c r="M71">
        <f t="shared" ref="M71" si="80">L71/0.53920518</f>
        <v>1.2757928947770689</v>
      </c>
    </row>
    <row r="72" spans="1:13">
      <c r="C72" t="s">
        <v>15</v>
      </c>
      <c r="D72">
        <v>2</v>
      </c>
      <c r="E72">
        <v>7.859</v>
      </c>
      <c r="F72">
        <v>76.619</v>
      </c>
      <c r="G72">
        <v>14</v>
      </c>
      <c r="H72">
        <v>163</v>
      </c>
      <c r="I72">
        <v>602.125</v>
      </c>
      <c r="J72">
        <v>1534764</v>
      </c>
      <c r="K72">
        <f>J72/E72</f>
        <v>195287.44115027357</v>
      </c>
    </row>
    <row r="73" spans="1:13">
      <c r="A73" t="s">
        <v>50</v>
      </c>
      <c r="B73">
        <v>9</v>
      </c>
      <c r="C73" t="s">
        <v>14</v>
      </c>
      <c r="D73">
        <v>1</v>
      </c>
      <c r="E73">
        <v>12.887</v>
      </c>
      <c r="F73">
        <v>11.613</v>
      </c>
      <c r="G73">
        <v>0</v>
      </c>
      <c r="H73">
        <v>58</v>
      </c>
      <c r="I73">
        <v>149.655</v>
      </c>
      <c r="J73">
        <v>381458</v>
      </c>
      <c r="K73">
        <f t="shared" ref="K73" si="81">J73/E73</f>
        <v>29600.217273221075</v>
      </c>
      <c r="L73">
        <f t="shared" ref="L73" si="82">K73/K74</f>
        <v>0.73224025862300846</v>
      </c>
      <c r="M73">
        <f t="shared" ref="M73" si="83">L73/0.53920518</f>
        <v>1.3579993030167263</v>
      </c>
    </row>
    <row r="74" spans="1:13">
      <c r="C74" t="s">
        <v>15</v>
      </c>
      <c r="D74">
        <v>1</v>
      </c>
      <c r="E74">
        <v>9.8729999999999993</v>
      </c>
      <c r="F74">
        <v>15.859</v>
      </c>
      <c r="G74">
        <v>0</v>
      </c>
      <c r="H74">
        <v>43</v>
      </c>
      <c r="I74">
        <v>156.58000000000001</v>
      </c>
      <c r="J74">
        <v>399108</v>
      </c>
      <c r="K74">
        <f>J74/E74</f>
        <v>40424.187177149804</v>
      </c>
    </row>
    <row r="75" spans="1:13">
      <c r="A75" t="s">
        <v>51</v>
      </c>
      <c r="B75">
        <v>11</v>
      </c>
      <c r="C75" t="s">
        <v>14</v>
      </c>
      <c r="D75">
        <v>1</v>
      </c>
      <c r="E75">
        <v>14.196999999999999</v>
      </c>
      <c r="F75">
        <v>45.564</v>
      </c>
      <c r="G75">
        <v>3</v>
      </c>
      <c r="H75">
        <v>134</v>
      </c>
      <c r="I75">
        <v>646.88599999999997</v>
      </c>
      <c r="J75">
        <v>2374354</v>
      </c>
      <c r="K75">
        <f t="shared" ref="K75" si="84">J75/E75</f>
        <v>167243.36127350849</v>
      </c>
      <c r="L75">
        <f t="shared" ref="L75" si="85">K75/K76</f>
        <v>0.63498575256576417</v>
      </c>
      <c r="M75">
        <f t="shared" ref="M75" si="86">L75/0.53920518</f>
        <v>1.1776328865493544</v>
      </c>
    </row>
    <row r="76" spans="1:13">
      <c r="C76" t="s">
        <v>15</v>
      </c>
      <c r="D76">
        <v>1</v>
      </c>
      <c r="E76">
        <v>9.1140000000000008</v>
      </c>
      <c r="F76">
        <v>71.754000000000005</v>
      </c>
      <c r="G76">
        <v>16</v>
      </c>
      <c r="H76">
        <v>151</v>
      </c>
      <c r="I76">
        <v>653.99800000000005</v>
      </c>
      <c r="J76">
        <v>2400457</v>
      </c>
      <c r="K76">
        <f>J76/E76</f>
        <v>263381.28154487599</v>
      </c>
    </row>
    <row r="77" spans="1:13">
      <c r="A77" t="s">
        <v>52</v>
      </c>
      <c r="B77">
        <v>7</v>
      </c>
      <c r="C77" t="s">
        <v>14</v>
      </c>
      <c r="D77">
        <v>1</v>
      </c>
      <c r="E77">
        <v>13.355</v>
      </c>
      <c r="F77">
        <v>14.539</v>
      </c>
      <c r="G77">
        <v>0</v>
      </c>
      <c r="H77">
        <v>60</v>
      </c>
      <c r="I77">
        <v>194.16</v>
      </c>
      <c r="J77">
        <v>494896</v>
      </c>
      <c r="K77">
        <f t="shared" ref="K77" si="87">J77/E77</f>
        <v>37056.982403594156</v>
      </c>
      <c r="L77">
        <f t="shared" ref="L77" si="88">K77/K78</f>
        <v>0.64170732381382267</v>
      </c>
      <c r="M77">
        <f t="shared" ref="M77" si="89">L77/0.53920518</f>
        <v>1.1900985888411211</v>
      </c>
    </row>
    <row r="78" spans="1:13">
      <c r="C78" t="s">
        <v>15</v>
      </c>
      <c r="D78">
        <v>1</v>
      </c>
      <c r="E78">
        <v>10.526</v>
      </c>
      <c r="F78">
        <v>22.655999999999999</v>
      </c>
      <c r="G78">
        <v>0</v>
      </c>
      <c r="H78">
        <v>82</v>
      </c>
      <c r="I78">
        <v>238.47399999999999</v>
      </c>
      <c r="J78">
        <v>607850</v>
      </c>
      <c r="K78">
        <f>J78/E78</f>
        <v>57747.482424472735</v>
      </c>
    </row>
    <row r="79" spans="1:13">
      <c r="A79" t="s">
        <v>53</v>
      </c>
      <c r="B79">
        <v>6</v>
      </c>
      <c r="C79" t="s">
        <v>14</v>
      </c>
      <c r="D79">
        <v>1</v>
      </c>
      <c r="E79">
        <v>8.7539999999999996</v>
      </c>
      <c r="F79">
        <v>37.186999999999998</v>
      </c>
      <c r="G79">
        <v>3</v>
      </c>
      <c r="H79">
        <v>108</v>
      </c>
      <c r="I79">
        <v>325.51499999999999</v>
      </c>
      <c r="J79">
        <v>829709</v>
      </c>
      <c r="K79">
        <f t="shared" ref="K79" si="90">J79/E79</f>
        <v>94780.557459447111</v>
      </c>
      <c r="L79">
        <f t="shared" ref="L79" si="91">K79/K80</f>
        <v>0.66685233950994693</v>
      </c>
      <c r="M79">
        <f t="shared" ref="M79" si="92">L79/0.53920518</f>
        <v>1.2367320720285866</v>
      </c>
    </row>
    <row r="80" spans="1:13">
      <c r="C80" t="s">
        <v>15</v>
      </c>
      <c r="D80">
        <v>1</v>
      </c>
      <c r="E80">
        <v>4.7389999999999999</v>
      </c>
      <c r="F80">
        <v>55.762999999999998</v>
      </c>
      <c r="G80">
        <v>10</v>
      </c>
      <c r="H80">
        <v>118</v>
      </c>
      <c r="I80">
        <v>264.25400000000002</v>
      </c>
      <c r="J80">
        <v>673560</v>
      </c>
      <c r="K80">
        <f>J80/E80</f>
        <v>142131.25131884363</v>
      </c>
    </row>
    <row r="81" spans="1:13">
      <c r="A81" t="s">
        <v>54</v>
      </c>
      <c r="B81">
        <v>8</v>
      </c>
      <c r="C81" t="s">
        <v>14</v>
      </c>
      <c r="D81">
        <v>1</v>
      </c>
      <c r="E81">
        <v>9.3670000000000009</v>
      </c>
      <c r="F81">
        <v>33.908000000000001</v>
      </c>
      <c r="G81">
        <v>2</v>
      </c>
      <c r="H81">
        <v>93</v>
      </c>
      <c r="I81">
        <v>317.60500000000002</v>
      </c>
      <c r="J81">
        <v>809547</v>
      </c>
      <c r="K81">
        <f t="shared" ref="K81" si="93">J81/E81</f>
        <v>86425.429700010674</v>
      </c>
      <c r="L81">
        <f t="shared" ref="L81" si="94">K81/K82</f>
        <v>0.85576635423822744</v>
      </c>
      <c r="M81">
        <f t="shared" ref="M81" si="95">L81/0.53920518</f>
        <v>1.5870885258154002</v>
      </c>
    </row>
    <row r="82" spans="1:13">
      <c r="C82" t="s">
        <v>15</v>
      </c>
      <c r="D82">
        <v>1</v>
      </c>
      <c r="E82">
        <v>3.8050000000000002</v>
      </c>
      <c r="F82">
        <v>39.619999999999997</v>
      </c>
      <c r="G82">
        <v>1</v>
      </c>
      <c r="H82">
        <v>105</v>
      </c>
      <c r="I82">
        <v>150.76</v>
      </c>
      <c r="J82">
        <v>384274</v>
      </c>
      <c r="K82">
        <f>J82/E82</f>
        <v>100991.85282522996</v>
      </c>
    </row>
    <row r="83" spans="1:13">
      <c r="A83" t="s">
        <v>55</v>
      </c>
      <c r="B83">
        <v>6</v>
      </c>
      <c r="C83" t="s">
        <v>14</v>
      </c>
      <c r="D83">
        <v>1</v>
      </c>
      <c r="E83">
        <v>10.914</v>
      </c>
      <c r="F83">
        <v>34.270000000000003</v>
      </c>
      <c r="G83">
        <v>2</v>
      </c>
      <c r="H83">
        <v>98</v>
      </c>
      <c r="I83">
        <v>374.01100000000002</v>
      </c>
      <c r="J83">
        <v>953321</v>
      </c>
      <c r="K83">
        <f t="shared" ref="K83" si="96">J83/E83</f>
        <v>87348.451530144768</v>
      </c>
      <c r="L83">
        <f t="shared" ref="L83" si="97">K83/K84</f>
        <v>0.62279283804135943</v>
      </c>
      <c r="M83">
        <f t="shared" ref="M83" si="98">L83/0.53920518</f>
        <v>1.155020131745321</v>
      </c>
    </row>
    <row r="84" spans="1:13">
      <c r="C84" t="s">
        <v>15</v>
      </c>
      <c r="D84">
        <v>1</v>
      </c>
      <c r="E84">
        <v>4.2560000000000002</v>
      </c>
      <c r="F84">
        <v>55.030999999999999</v>
      </c>
      <c r="G84">
        <v>13</v>
      </c>
      <c r="H84">
        <v>128</v>
      </c>
      <c r="I84">
        <v>234.184</v>
      </c>
      <c r="J84">
        <v>596916</v>
      </c>
      <c r="K84">
        <f>J84/E84</f>
        <v>140252.81954887218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Alice Rossi</dc:creator>
  <cp:keywords/>
  <dc:description/>
  <cp:lastModifiedBy>Alice Rossi</cp:lastModifiedBy>
  <cp:revision/>
  <dcterms:created xsi:type="dcterms:W3CDTF">2025-07-26T18:41:28Z</dcterms:created>
  <dcterms:modified xsi:type="dcterms:W3CDTF">2025-10-27T18:09:21Z</dcterms:modified>
  <cp:category/>
  <cp:contentStatus/>
</cp:coreProperties>
</file>