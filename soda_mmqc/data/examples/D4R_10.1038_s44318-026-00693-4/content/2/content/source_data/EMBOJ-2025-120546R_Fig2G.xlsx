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2/"/>
    </mc:Choice>
  </mc:AlternateContent>
  <xr:revisionPtr revIDLastSave="0" documentId="13_ncr:1_{9C07F36E-3828-CE4D-9A61-A6404C2AA4D4}" xr6:coauthVersionLast="47" xr6:coauthVersionMax="47" xr10:uidLastSave="{00000000-0000-0000-0000-000000000000}"/>
  <bookViews>
    <workbookView xWindow="960" yWindow="760" windowWidth="29280" windowHeight="18880" activeTab="2" xr2:uid="{0FEFF483-D7C1-CE4C-9CED-F0800991E1F1}"/>
  </bookViews>
  <sheets>
    <sheet name="Rep1" sheetId="1" r:id="rId1"/>
    <sheet name="Rep2" sheetId="2" r:id="rId2"/>
    <sheet name="Rep3" sheetId="3" r:id="rId3"/>
    <sheet name="nuc_to_ cyto_normalis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I4" i="3"/>
  <c r="J4" i="3"/>
  <c r="K4" i="3" s="1"/>
  <c r="M3" i="3" s="1"/>
  <c r="L5" i="3"/>
  <c r="I7" i="3"/>
  <c r="K7" i="3" s="1"/>
  <c r="J7" i="3"/>
  <c r="L8" i="3"/>
  <c r="I10" i="3"/>
  <c r="J10" i="3"/>
  <c r="K10" i="3"/>
  <c r="M9" i="3" s="1"/>
  <c r="L11" i="3"/>
  <c r="M12" i="3" s="1"/>
  <c r="I13" i="3"/>
  <c r="J13" i="3"/>
  <c r="K13" i="3"/>
  <c r="L14" i="3"/>
  <c r="I16" i="3"/>
  <c r="J16" i="3"/>
  <c r="K16" i="3" s="1"/>
  <c r="M15" i="3" s="1"/>
  <c r="L17" i="3"/>
  <c r="M18" i="3" s="1"/>
  <c r="I19" i="3"/>
  <c r="J19" i="3"/>
  <c r="K19" i="3"/>
  <c r="L20" i="3"/>
  <c r="M21" i="3"/>
  <c r="I22" i="3"/>
  <c r="J22" i="3"/>
  <c r="K22" i="3"/>
  <c r="L23" i="3"/>
  <c r="M24" i="3" s="1"/>
  <c r="I25" i="3"/>
  <c r="J25" i="3"/>
  <c r="K25" i="3"/>
  <c r="L26" i="3"/>
  <c r="I28" i="3"/>
  <c r="J28" i="3"/>
  <c r="K28" i="3" s="1"/>
  <c r="M27" i="3" s="1"/>
  <c r="L29" i="3"/>
  <c r="I31" i="3"/>
  <c r="K31" i="3" s="1"/>
  <c r="M30" i="3" s="1"/>
  <c r="J31" i="3"/>
  <c r="L32" i="3"/>
  <c r="M33" i="3" s="1"/>
  <c r="I34" i="3"/>
  <c r="J34" i="3"/>
  <c r="K34" i="3"/>
  <c r="L35" i="3"/>
  <c r="I37" i="3"/>
  <c r="J37" i="3"/>
  <c r="K37" i="3" s="1"/>
  <c r="L38" i="3"/>
  <c r="I40" i="3"/>
  <c r="J40" i="3"/>
  <c r="K40" i="3" s="1"/>
  <c r="M39" i="3" s="1"/>
  <c r="L41" i="3"/>
  <c r="I43" i="3"/>
  <c r="J43" i="3"/>
  <c r="K43" i="3"/>
  <c r="M42" i="3" s="1"/>
  <c r="L44" i="3"/>
  <c r="M45" i="3"/>
  <c r="I46" i="3"/>
  <c r="J46" i="3"/>
  <c r="K46" i="3"/>
  <c r="L47" i="3"/>
  <c r="M48" i="3" s="1"/>
  <c r="I49" i="3"/>
  <c r="J49" i="3"/>
  <c r="K49" i="3"/>
  <c r="L50" i="3"/>
  <c r="I52" i="3"/>
  <c r="J52" i="3"/>
  <c r="K52" i="3" s="1"/>
  <c r="M51" i="3" s="1"/>
  <c r="L53" i="3"/>
  <c r="I55" i="3"/>
  <c r="K55" i="3" s="1"/>
  <c r="M54" i="3" s="1"/>
  <c r="J55" i="3"/>
  <c r="L56" i="3"/>
  <c r="M57" i="3" s="1"/>
  <c r="I58" i="3"/>
  <c r="J58" i="3"/>
  <c r="K58" i="3"/>
  <c r="L59" i="3"/>
  <c r="I61" i="3"/>
  <c r="J61" i="3"/>
  <c r="K61" i="3" s="1"/>
  <c r="Y61" i="3"/>
  <c r="X61" i="3"/>
  <c r="AA59" i="3"/>
  <c r="Y58" i="3"/>
  <c r="X58" i="3"/>
  <c r="AA56" i="3"/>
  <c r="Y55" i="3"/>
  <c r="X55" i="3"/>
  <c r="AA53" i="3"/>
  <c r="Y52" i="3"/>
  <c r="X52" i="3"/>
  <c r="AA50" i="3"/>
  <c r="Y49" i="3"/>
  <c r="X49" i="3"/>
  <c r="AA47" i="3"/>
  <c r="Y46" i="3"/>
  <c r="X46" i="3"/>
  <c r="AA44" i="3"/>
  <c r="Y43" i="3"/>
  <c r="X43" i="3"/>
  <c r="AA41" i="3"/>
  <c r="Y40" i="3"/>
  <c r="X40" i="3"/>
  <c r="AA38" i="3"/>
  <c r="Y37" i="3"/>
  <c r="X37" i="3"/>
  <c r="AA35" i="3"/>
  <c r="Y34" i="3"/>
  <c r="X34" i="3"/>
  <c r="AA32" i="3"/>
  <c r="Y31" i="3"/>
  <c r="X31" i="3"/>
  <c r="AA29" i="3"/>
  <c r="Y28" i="3"/>
  <c r="X28" i="3"/>
  <c r="AA26" i="3"/>
  <c r="Y25" i="3"/>
  <c r="X25" i="3"/>
  <c r="AA23" i="3"/>
  <c r="Y22" i="3"/>
  <c r="X22" i="3"/>
  <c r="Z22" i="3" s="1"/>
  <c r="AA20" i="3"/>
  <c r="Y19" i="3"/>
  <c r="X19" i="3"/>
  <c r="AA17" i="3"/>
  <c r="Y16" i="3"/>
  <c r="X16" i="3"/>
  <c r="AA14" i="3"/>
  <c r="Y13" i="3"/>
  <c r="X13" i="3"/>
  <c r="AA11" i="3"/>
  <c r="Y10" i="3"/>
  <c r="X10" i="3"/>
  <c r="AA8" i="3"/>
  <c r="Y7" i="3"/>
  <c r="Z7" i="3" s="1"/>
  <c r="X7" i="3"/>
  <c r="AA5" i="3"/>
  <c r="Y4" i="3"/>
  <c r="X4" i="3"/>
  <c r="AA2" i="3"/>
  <c r="O3" i="1"/>
  <c r="L5" i="1"/>
  <c r="M5" i="1"/>
  <c r="N5" i="1" s="1"/>
  <c r="P4" i="1" s="1"/>
  <c r="O6" i="1"/>
  <c r="L8" i="1"/>
  <c r="N8" i="1" s="1"/>
  <c r="P7" i="1" s="1"/>
  <c r="M8" i="1"/>
  <c r="O9" i="1"/>
  <c r="P10" i="1" s="1"/>
  <c r="L11" i="1"/>
  <c r="M11" i="1"/>
  <c r="N11" i="1"/>
  <c r="O12" i="1"/>
  <c r="L14" i="1"/>
  <c r="M14" i="1"/>
  <c r="N14" i="1" s="1"/>
  <c r="O15" i="1"/>
  <c r="L17" i="1"/>
  <c r="M17" i="1"/>
  <c r="N17" i="1" s="1"/>
  <c r="O18" i="1"/>
  <c r="L20" i="1"/>
  <c r="N20" i="1" s="1"/>
  <c r="P19" i="1" s="1"/>
  <c r="M20" i="1"/>
  <c r="O21" i="1"/>
  <c r="P22" i="1" s="1"/>
  <c r="L23" i="1"/>
  <c r="M23" i="1"/>
  <c r="N23" i="1"/>
  <c r="O24" i="1"/>
  <c r="P25" i="1" s="1"/>
  <c r="L26" i="1"/>
  <c r="M26" i="1"/>
  <c r="N26" i="1" s="1"/>
  <c r="O27" i="1"/>
  <c r="L29" i="1"/>
  <c r="M29" i="1"/>
  <c r="N29" i="1" s="1"/>
  <c r="P28" i="1" s="1"/>
  <c r="O30" i="1"/>
  <c r="L32" i="1"/>
  <c r="N32" i="1" s="1"/>
  <c r="P31" i="1" s="1"/>
  <c r="M32" i="1"/>
  <c r="O33" i="1"/>
  <c r="P34" i="1" s="1"/>
  <c r="L35" i="1"/>
  <c r="M35" i="1"/>
  <c r="N35" i="1"/>
  <c r="O36" i="1"/>
  <c r="L38" i="1"/>
  <c r="M38" i="1"/>
  <c r="N38" i="1" s="1"/>
  <c r="O39" i="1"/>
  <c r="P40" i="1" s="1"/>
  <c r="L41" i="1"/>
  <c r="M41" i="1"/>
  <c r="N41" i="1" s="1"/>
  <c r="O42" i="1"/>
  <c r="L44" i="1"/>
  <c r="M44" i="1"/>
  <c r="N44" i="1" s="1"/>
  <c r="P43" i="1" s="1"/>
  <c r="O45" i="1"/>
  <c r="P46" i="1" s="1"/>
  <c r="L47" i="1"/>
  <c r="M47" i="1"/>
  <c r="N47" i="1"/>
  <c r="O48" i="1"/>
  <c r="L50" i="1"/>
  <c r="M50" i="1"/>
  <c r="N50" i="1" s="1"/>
  <c r="O51" i="1"/>
  <c r="L53" i="1"/>
  <c r="M53" i="1"/>
  <c r="N53" i="1" s="1"/>
  <c r="P52" i="1" s="1"/>
  <c r="O54" i="1"/>
  <c r="L56" i="1"/>
  <c r="N56" i="1" s="1"/>
  <c r="P55" i="1" s="1"/>
  <c r="M56" i="1"/>
  <c r="O57" i="1"/>
  <c r="P58" i="1" s="1"/>
  <c r="L59" i="1"/>
  <c r="M59" i="1"/>
  <c r="N59" i="1"/>
  <c r="O60" i="1"/>
  <c r="P61" i="1" s="1"/>
  <c r="L62" i="1"/>
  <c r="M62" i="1"/>
  <c r="N62" i="1" s="1"/>
  <c r="O63" i="1"/>
  <c r="L65" i="1"/>
  <c r="M65" i="1"/>
  <c r="N65" i="1" s="1"/>
  <c r="O66" i="1"/>
  <c r="L68" i="1"/>
  <c r="M68" i="1"/>
  <c r="N68" i="1" s="1"/>
  <c r="P67" i="1" s="1"/>
  <c r="O69" i="1"/>
  <c r="P70" i="1" s="1"/>
  <c r="L71" i="1"/>
  <c r="M71" i="1"/>
  <c r="N71" i="1"/>
  <c r="O72" i="1"/>
  <c r="L74" i="1"/>
  <c r="M74" i="1"/>
  <c r="N74" i="1" s="1"/>
  <c r="O75" i="1"/>
  <c r="L77" i="1"/>
  <c r="M77" i="1"/>
  <c r="N77" i="1" s="1"/>
  <c r="P76" i="1" s="1"/>
  <c r="O78" i="1"/>
  <c r="L80" i="1"/>
  <c r="N80" i="1" s="1"/>
  <c r="P79" i="1" s="1"/>
  <c r="M80" i="1"/>
  <c r="O81" i="1"/>
  <c r="P82" i="1" s="1"/>
  <c r="L83" i="1"/>
  <c r="M83" i="1"/>
  <c r="N83" i="1"/>
  <c r="O84" i="1"/>
  <c r="P85" i="1" s="1"/>
  <c r="L86" i="1"/>
  <c r="M86" i="1"/>
  <c r="N86" i="1" s="1"/>
  <c r="O87" i="1"/>
  <c r="L89" i="1"/>
  <c r="M89" i="1"/>
  <c r="N89" i="1" s="1"/>
  <c r="O90" i="1"/>
  <c r="L92" i="1"/>
  <c r="M92" i="1"/>
  <c r="N92" i="1" s="1"/>
  <c r="P91" i="1" s="1"/>
  <c r="O93" i="1"/>
  <c r="P94" i="1" s="1"/>
  <c r="L95" i="1"/>
  <c r="M95" i="1"/>
  <c r="N95" i="1"/>
  <c r="O96" i="1"/>
  <c r="L98" i="1"/>
  <c r="M98" i="1"/>
  <c r="N98" i="1" s="1"/>
  <c r="O99" i="1"/>
  <c r="L101" i="1"/>
  <c r="M101" i="1"/>
  <c r="N101" i="1" s="1"/>
  <c r="P100" i="1" s="1"/>
  <c r="O102" i="1"/>
  <c r="L104" i="1"/>
  <c r="N104" i="1" s="1"/>
  <c r="P103" i="1" s="1"/>
  <c r="M104" i="1"/>
  <c r="O105" i="1"/>
  <c r="P106" i="1" s="1"/>
  <c r="L107" i="1"/>
  <c r="M107" i="1"/>
  <c r="N107" i="1"/>
  <c r="O108" i="1"/>
  <c r="L110" i="1"/>
  <c r="M110" i="1"/>
  <c r="N110" i="1" s="1"/>
  <c r="O111" i="1"/>
  <c r="L113" i="1"/>
  <c r="M113" i="1"/>
  <c r="N113" i="1" s="1"/>
  <c r="O114" i="1"/>
  <c r="L116" i="1"/>
  <c r="M116" i="1"/>
  <c r="N116" i="1" s="1"/>
  <c r="P115" i="1" s="1"/>
  <c r="O117" i="1"/>
  <c r="P118" i="1" s="1"/>
  <c r="L119" i="1"/>
  <c r="M119" i="1"/>
  <c r="N119" i="1"/>
  <c r="O120" i="1"/>
  <c r="P121" i="1" s="1"/>
  <c r="L122" i="1"/>
  <c r="M122" i="1"/>
  <c r="N122" i="1" s="1"/>
  <c r="O123" i="1"/>
  <c r="L125" i="1"/>
  <c r="M125" i="1"/>
  <c r="N125" i="1" s="1"/>
  <c r="P124" i="1" s="1"/>
  <c r="O126" i="1"/>
  <c r="L128" i="1"/>
  <c r="N128" i="1" s="1"/>
  <c r="P127" i="1" s="1"/>
  <c r="M128" i="1"/>
  <c r="O129" i="1"/>
  <c r="P130" i="1" s="1"/>
  <c r="L131" i="1"/>
  <c r="M131" i="1"/>
  <c r="N131" i="1"/>
  <c r="O132" i="1"/>
  <c r="L134" i="1"/>
  <c r="M134" i="1"/>
  <c r="N134" i="1" s="1"/>
  <c r="O135" i="1"/>
  <c r="P136" i="1" s="1"/>
  <c r="L137" i="1"/>
  <c r="M137" i="1"/>
  <c r="N137" i="1" s="1"/>
  <c r="O138" i="1"/>
  <c r="L140" i="1"/>
  <c r="M140" i="1"/>
  <c r="N140" i="1" s="1"/>
  <c r="P139" i="1" s="1"/>
  <c r="O141" i="1"/>
  <c r="P142" i="1" s="1"/>
  <c r="L143" i="1"/>
  <c r="M143" i="1"/>
  <c r="N143" i="1"/>
  <c r="O144" i="1"/>
  <c r="L146" i="1"/>
  <c r="M146" i="1"/>
  <c r="N146" i="1" s="1"/>
  <c r="O147" i="1"/>
  <c r="L149" i="1"/>
  <c r="M149" i="1"/>
  <c r="N149" i="1" s="1"/>
  <c r="P148" i="1" s="1"/>
  <c r="O150" i="1"/>
  <c r="L152" i="1"/>
  <c r="N152" i="1" s="1"/>
  <c r="P151" i="1" s="1"/>
  <c r="M152" i="1"/>
  <c r="O153" i="1"/>
  <c r="P154" i="1" s="1"/>
  <c r="L155" i="1"/>
  <c r="M155" i="1"/>
  <c r="N155" i="1"/>
  <c r="O156" i="1"/>
  <c r="P157" i="1" s="1"/>
  <c r="L158" i="1"/>
  <c r="M158" i="1"/>
  <c r="N158" i="1" s="1"/>
  <c r="O159" i="1"/>
  <c r="L161" i="1"/>
  <c r="M161" i="1"/>
  <c r="N161" i="1" s="1"/>
  <c r="O162" i="1"/>
  <c r="L164" i="1"/>
  <c r="M164" i="1"/>
  <c r="N164" i="1" s="1"/>
  <c r="P163" i="1" s="1"/>
  <c r="O165" i="1"/>
  <c r="P166" i="1" s="1"/>
  <c r="L167" i="1"/>
  <c r="M167" i="1"/>
  <c r="N167" i="1"/>
  <c r="O168" i="1"/>
  <c r="L170" i="1"/>
  <c r="M170" i="1"/>
  <c r="N170" i="1" s="1"/>
  <c r="O171" i="1"/>
  <c r="L173" i="1"/>
  <c r="M173" i="1"/>
  <c r="N173" i="1" s="1"/>
  <c r="P172" i="1" s="1"/>
  <c r="O174" i="1"/>
  <c r="L176" i="1"/>
  <c r="N176" i="1" s="1"/>
  <c r="P175" i="1" s="1"/>
  <c r="M176" i="1"/>
  <c r="O177" i="1"/>
  <c r="P178" i="1" s="1"/>
  <c r="L179" i="1"/>
  <c r="M179" i="1"/>
  <c r="N179" i="1"/>
  <c r="O180" i="1"/>
  <c r="P181" i="1" s="1"/>
  <c r="L182" i="1"/>
  <c r="M182" i="1"/>
  <c r="N182" i="1" s="1"/>
  <c r="O183" i="1"/>
  <c r="L185" i="1"/>
  <c r="M185" i="1"/>
  <c r="N185" i="1" s="1"/>
  <c r="O186" i="1"/>
  <c r="L188" i="1"/>
  <c r="M188" i="1"/>
  <c r="N188" i="1" s="1"/>
  <c r="P187" i="1" s="1"/>
  <c r="O189" i="1"/>
  <c r="P190" i="1" s="1"/>
  <c r="L191" i="1"/>
  <c r="M191" i="1"/>
  <c r="N191" i="1"/>
  <c r="O192" i="1"/>
  <c r="L194" i="1"/>
  <c r="M194" i="1"/>
  <c r="N194" i="1" s="1"/>
  <c r="O195" i="1"/>
  <c r="L197" i="1"/>
  <c r="M197" i="1"/>
  <c r="N197" i="1" s="1"/>
  <c r="P196" i="1" s="1"/>
  <c r="O198" i="1"/>
  <c r="L200" i="1"/>
  <c r="N200" i="1" s="1"/>
  <c r="P199" i="1" s="1"/>
  <c r="M200" i="1"/>
  <c r="O201" i="1"/>
  <c r="P202" i="1" s="1"/>
  <c r="L203" i="1"/>
  <c r="M203" i="1"/>
  <c r="N203" i="1"/>
  <c r="O204" i="1"/>
  <c r="L206" i="1"/>
  <c r="M206" i="1"/>
  <c r="N206" i="1" s="1"/>
  <c r="O207" i="1"/>
  <c r="L209" i="1"/>
  <c r="M209" i="1"/>
  <c r="N209" i="1" s="1"/>
  <c r="O210" i="1"/>
  <c r="L212" i="1"/>
  <c r="M212" i="1"/>
  <c r="N212" i="1" s="1"/>
  <c r="P211" i="1" s="1"/>
  <c r="O213" i="1"/>
  <c r="P214" i="1" s="1"/>
  <c r="L215" i="1"/>
  <c r="M215" i="1"/>
  <c r="N215" i="1"/>
  <c r="O216" i="1"/>
  <c r="P217" i="1" s="1"/>
  <c r="L218" i="1"/>
  <c r="M218" i="1"/>
  <c r="N218" i="1" s="1"/>
  <c r="O219" i="1"/>
  <c r="L221" i="1"/>
  <c r="M221" i="1"/>
  <c r="N221" i="1" s="1"/>
  <c r="P220" i="1" s="1"/>
  <c r="O222" i="1"/>
  <c r="L224" i="1"/>
  <c r="N224" i="1" s="1"/>
  <c r="P223" i="1" s="1"/>
  <c r="M224" i="1"/>
  <c r="O225" i="1"/>
  <c r="L227" i="1"/>
  <c r="M227" i="1"/>
  <c r="N227" i="1"/>
  <c r="P226" i="1" s="1"/>
  <c r="O228" i="1"/>
  <c r="P229" i="1" s="1"/>
  <c r="L230" i="1"/>
  <c r="M230" i="1"/>
  <c r="N230" i="1"/>
  <c r="O231" i="1"/>
  <c r="P232" i="1" s="1"/>
  <c r="L233" i="1"/>
  <c r="M233" i="1"/>
  <c r="N233" i="1" s="1"/>
  <c r="O234" i="1"/>
  <c r="L236" i="1"/>
  <c r="N236" i="1" s="1"/>
  <c r="P235" i="1" s="1"/>
  <c r="M236" i="1"/>
  <c r="O237" i="1"/>
  <c r="P238" i="1" s="1"/>
  <c r="L239" i="1"/>
  <c r="M239" i="1"/>
  <c r="N239" i="1"/>
  <c r="O240" i="1"/>
  <c r="L242" i="1"/>
  <c r="M242" i="1"/>
  <c r="N242" i="1" s="1"/>
  <c r="O243" i="1"/>
  <c r="L245" i="1"/>
  <c r="M245" i="1"/>
  <c r="N245" i="1" s="1"/>
  <c r="P244" i="1" s="1"/>
  <c r="O246" i="1"/>
  <c r="L248" i="1"/>
  <c r="N248" i="1" s="1"/>
  <c r="P247" i="1" s="1"/>
  <c r="M248" i="1"/>
  <c r="O249" i="1"/>
  <c r="L251" i="1"/>
  <c r="M251" i="1"/>
  <c r="N251" i="1"/>
  <c r="P250" i="1" s="1"/>
  <c r="O252" i="1"/>
  <c r="P253" i="1" s="1"/>
  <c r="L254" i="1"/>
  <c r="M254" i="1"/>
  <c r="N254" i="1"/>
  <c r="O255" i="1"/>
  <c r="L257" i="1"/>
  <c r="M257" i="1"/>
  <c r="N257" i="1" s="1"/>
  <c r="O258" i="1"/>
  <c r="L260" i="1"/>
  <c r="N260" i="1" s="1"/>
  <c r="P259" i="1" s="1"/>
  <c r="M260" i="1"/>
  <c r="O261" i="1"/>
  <c r="P262" i="1" s="1"/>
  <c r="L263" i="1"/>
  <c r="M263" i="1"/>
  <c r="N263" i="1"/>
  <c r="O264" i="1"/>
  <c r="L266" i="1"/>
  <c r="M266" i="1"/>
  <c r="N266" i="1" s="1"/>
  <c r="O267" i="1"/>
  <c r="L269" i="1"/>
  <c r="M269" i="1"/>
  <c r="N269" i="1" s="1"/>
  <c r="P268" i="1" s="1"/>
  <c r="O270" i="1"/>
  <c r="L272" i="1"/>
  <c r="N272" i="1" s="1"/>
  <c r="P271" i="1" s="1"/>
  <c r="M272" i="1"/>
  <c r="O273" i="1"/>
  <c r="L275" i="1"/>
  <c r="M275" i="1"/>
  <c r="N275" i="1"/>
  <c r="P274" i="1" s="1"/>
  <c r="O276" i="1"/>
  <c r="P277" i="1" s="1"/>
  <c r="L278" i="1"/>
  <c r="M278" i="1"/>
  <c r="N278" i="1"/>
  <c r="O279" i="1"/>
  <c r="L281" i="1"/>
  <c r="M281" i="1"/>
  <c r="N281" i="1" s="1"/>
  <c r="P280" i="1" s="1"/>
  <c r="O282" i="1"/>
  <c r="L284" i="1"/>
  <c r="N284" i="1" s="1"/>
  <c r="P283" i="1" s="1"/>
  <c r="M284" i="1"/>
  <c r="O285" i="1"/>
  <c r="P286" i="1" s="1"/>
  <c r="L287" i="1"/>
  <c r="M287" i="1"/>
  <c r="N287" i="1"/>
  <c r="O288" i="1"/>
  <c r="P289" i="1" s="1"/>
  <c r="L290" i="1"/>
  <c r="M290" i="1"/>
  <c r="N290" i="1" s="1"/>
  <c r="O291" i="1"/>
  <c r="L293" i="1"/>
  <c r="M293" i="1"/>
  <c r="N293" i="1" s="1"/>
  <c r="P292" i="1" s="1"/>
  <c r="O294" i="1"/>
  <c r="L296" i="1"/>
  <c r="N296" i="1" s="1"/>
  <c r="P295" i="1" s="1"/>
  <c r="M296" i="1"/>
  <c r="O297" i="1"/>
  <c r="L299" i="1"/>
  <c r="M299" i="1"/>
  <c r="N299" i="1"/>
  <c r="P298" i="1" s="1"/>
  <c r="O300" i="1"/>
  <c r="P301" i="1" s="1"/>
  <c r="L302" i="1"/>
  <c r="M302" i="1"/>
  <c r="N302" i="1"/>
  <c r="O303" i="1"/>
  <c r="L305" i="1"/>
  <c r="M305" i="1"/>
  <c r="N305" i="1" s="1"/>
  <c r="O306" i="1"/>
  <c r="L308" i="1"/>
  <c r="N308" i="1" s="1"/>
  <c r="P307" i="1" s="1"/>
  <c r="M308" i="1"/>
  <c r="O309" i="1"/>
  <c r="P310" i="1" s="1"/>
  <c r="L311" i="1"/>
  <c r="M311" i="1"/>
  <c r="N311" i="1"/>
  <c r="O312" i="1"/>
  <c r="L314" i="1"/>
  <c r="M314" i="1"/>
  <c r="N314" i="1" s="1"/>
  <c r="O315" i="1"/>
  <c r="P316" i="1" s="1"/>
  <c r="L317" i="1"/>
  <c r="M317" i="1"/>
  <c r="N317" i="1" s="1"/>
  <c r="O318" i="1"/>
  <c r="L320" i="1"/>
  <c r="M320" i="1"/>
  <c r="N320" i="1" s="1"/>
  <c r="P319" i="1" s="1"/>
  <c r="O321" i="1"/>
  <c r="L323" i="1"/>
  <c r="M323" i="1"/>
  <c r="N323" i="1"/>
  <c r="P322" i="1" s="1"/>
  <c r="O324" i="1"/>
  <c r="P325" i="1" s="1"/>
  <c r="L326" i="1"/>
  <c r="M326" i="1"/>
  <c r="N326" i="1"/>
  <c r="O327" i="1"/>
  <c r="L329" i="1"/>
  <c r="M329" i="1"/>
  <c r="N329" i="1" s="1"/>
  <c r="P328" i="1" s="1"/>
  <c r="O330" i="1"/>
  <c r="L332" i="1"/>
  <c r="N332" i="1" s="1"/>
  <c r="P331" i="1" s="1"/>
  <c r="M332" i="1"/>
  <c r="O333" i="1"/>
  <c r="P334" i="1" s="1"/>
  <c r="L335" i="1"/>
  <c r="M335" i="1"/>
  <c r="N335" i="1"/>
  <c r="O336" i="1"/>
  <c r="P337" i="1" s="1"/>
  <c r="L338" i="1"/>
  <c r="M338" i="1"/>
  <c r="N338" i="1" s="1"/>
  <c r="O339" i="1"/>
  <c r="L341" i="1"/>
  <c r="M341" i="1"/>
  <c r="N341" i="1" s="1"/>
  <c r="O342" i="1"/>
  <c r="L344" i="1"/>
  <c r="M344" i="1"/>
  <c r="N344" i="1" s="1"/>
  <c r="P343" i="1" s="1"/>
  <c r="O345" i="1"/>
  <c r="L347" i="1"/>
  <c r="M347" i="1"/>
  <c r="N347" i="1"/>
  <c r="P346" i="1" s="1"/>
  <c r="O348" i="1"/>
  <c r="P349" i="1" s="1"/>
  <c r="L350" i="1"/>
  <c r="M350" i="1"/>
  <c r="N350" i="1"/>
  <c r="O351" i="1"/>
  <c r="P352" i="1" s="1"/>
  <c r="L353" i="1"/>
  <c r="M353" i="1"/>
  <c r="N353" i="1" s="1"/>
  <c r="O354" i="1"/>
  <c r="L356" i="1"/>
  <c r="N356" i="1" s="1"/>
  <c r="P355" i="1" s="1"/>
  <c r="M356" i="1"/>
  <c r="O357" i="1"/>
  <c r="P358" i="1" s="1"/>
  <c r="L359" i="1"/>
  <c r="M359" i="1"/>
  <c r="N359" i="1"/>
  <c r="O360" i="1"/>
  <c r="L362" i="1"/>
  <c r="M362" i="1"/>
  <c r="N362" i="1" s="1"/>
  <c r="Y61" i="2"/>
  <c r="X61" i="2"/>
  <c r="AA59" i="2"/>
  <c r="Y58" i="2"/>
  <c r="X58" i="2"/>
  <c r="AA56" i="2"/>
  <c r="Y55" i="2"/>
  <c r="X55" i="2"/>
  <c r="AA53" i="2"/>
  <c r="Y52" i="2"/>
  <c r="X52" i="2"/>
  <c r="AA50" i="2"/>
  <c r="Y49" i="2"/>
  <c r="X49" i="2"/>
  <c r="AA47" i="2"/>
  <c r="Y46" i="2"/>
  <c r="X46" i="2"/>
  <c r="AA44" i="2"/>
  <c r="Y43" i="2"/>
  <c r="X43" i="2"/>
  <c r="AA41" i="2"/>
  <c r="Y40" i="2"/>
  <c r="X40" i="2"/>
  <c r="AA38" i="2"/>
  <c r="Y37" i="2"/>
  <c r="X37" i="2"/>
  <c r="AA35" i="2"/>
  <c r="Y34" i="2"/>
  <c r="X34" i="2"/>
  <c r="AA32" i="2"/>
  <c r="Y31" i="2"/>
  <c r="X31" i="2"/>
  <c r="AA29" i="2"/>
  <c r="Y28" i="2"/>
  <c r="X28" i="2"/>
  <c r="AA26" i="2"/>
  <c r="Y25" i="2"/>
  <c r="X25" i="2"/>
  <c r="AA23" i="2"/>
  <c r="Y22" i="2"/>
  <c r="X22" i="2"/>
  <c r="AA20" i="2"/>
  <c r="Y19" i="2"/>
  <c r="X19" i="2"/>
  <c r="AA17" i="2"/>
  <c r="Y16" i="2"/>
  <c r="X16" i="2"/>
  <c r="AA14" i="2"/>
  <c r="Y13" i="2"/>
  <c r="X13" i="2"/>
  <c r="AA11" i="2"/>
  <c r="Y10" i="2"/>
  <c r="X10" i="2"/>
  <c r="AA8" i="2"/>
  <c r="Y7" i="2"/>
  <c r="X7" i="2"/>
  <c r="AA5" i="2"/>
  <c r="Y4" i="2"/>
  <c r="X4" i="2"/>
  <c r="AA2" i="2"/>
  <c r="J61" i="2"/>
  <c r="I61" i="2"/>
  <c r="L59" i="2"/>
  <c r="J58" i="2"/>
  <c r="I58" i="2"/>
  <c r="L56" i="2"/>
  <c r="J55" i="2"/>
  <c r="I55" i="2"/>
  <c r="L53" i="2"/>
  <c r="J52" i="2"/>
  <c r="I52" i="2"/>
  <c r="L50" i="2"/>
  <c r="J49" i="2"/>
  <c r="I49" i="2"/>
  <c r="L47" i="2"/>
  <c r="J46" i="2"/>
  <c r="I46" i="2"/>
  <c r="L44" i="2"/>
  <c r="J43" i="2"/>
  <c r="I43" i="2"/>
  <c r="L41" i="2"/>
  <c r="J40" i="2"/>
  <c r="I40" i="2"/>
  <c r="L38" i="2"/>
  <c r="J37" i="2"/>
  <c r="I37" i="2"/>
  <c r="L35" i="2"/>
  <c r="J34" i="2"/>
  <c r="I34" i="2"/>
  <c r="L32" i="2"/>
  <c r="J31" i="2"/>
  <c r="I31" i="2"/>
  <c r="L29" i="2"/>
  <c r="J28" i="2"/>
  <c r="I28" i="2"/>
  <c r="L26" i="2"/>
  <c r="J25" i="2"/>
  <c r="I25" i="2"/>
  <c r="L23" i="2"/>
  <c r="J22" i="2"/>
  <c r="I22" i="2"/>
  <c r="L20" i="2"/>
  <c r="J19" i="2"/>
  <c r="I19" i="2"/>
  <c r="L17" i="2"/>
  <c r="J16" i="2"/>
  <c r="I16" i="2"/>
  <c r="L14" i="2"/>
  <c r="J13" i="2"/>
  <c r="I13" i="2"/>
  <c r="L11" i="2"/>
  <c r="J10" i="2"/>
  <c r="I10" i="2"/>
  <c r="L8" i="2"/>
  <c r="J7" i="2"/>
  <c r="I7" i="2"/>
  <c r="L5" i="2"/>
  <c r="J4" i="2"/>
  <c r="I4" i="2"/>
  <c r="L2" i="2"/>
  <c r="N24" i="4"/>
  <c r="I24" i="4"/>
  <c r="D24" i="4"/>
  <c r="C24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3" i="4"/>
  <c r="K2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3" i="4"/>
  <c r="F2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A24" i="4"/>
  <c r="AM5" i="1"/>
  <c r="AM8" i="1"/>
  <c r="AM11" i="1"/>
  <c r="AM14" i="1"/>
  <c r="AM17" i="1"/>
  <c r="AM20" i="1"/>
  <c r="AM23" i="1"/>
  <c r="AM26" i="1"/>
  <c r="AM29" i="1"/>
  <c r="AM32" i="1"/>
  <c r="AM35" i="1"/>
  <c r="AM38" i="1"/>
  <c r="AM41" i="1"/>
  <c r="AM44" i="1"/>
  <c r="AM47" i="1"/>
  <c r="AM50" i="1"/>
  <c r="AM53" i="1"/>
  <c r="AM56" i="1"/>
  <c r="AM59" i="1"/>
  <c r="AM62" i="1"/>
  <c r="AM65" i="1"/>
  <c r="AM68" i="1"/>
  <c r="AM71" i="1"/>
  <c r="AM74" i="1"/>
  <c r="AM77" i="1"/>
  <c r="AM80" i="1"/>
  <c r="AM83" i="1"/>
  <c r="AM86" i="1"/>
  <c r="AM89" i="1"/>
  <c r="AM92" i="1"/>
  <c r="AM95" i="1"/>
  <c r="AM98" i="1"/>
  <c r="AM101" i="1"/>
  <c r="AM104" i="1"/>
  <c r="AM107" i="1"/>
  <c r="AM2" i="1"/>
  <c r="AK7" i="1"/>
  <c r="AK10" i="1"/>
  <c r="AK13" i="1"/>
  <c r="AK16" i="1"/>
  <c r="AK19" i="1"/>
  <c r="AK22" i="1"/>
  <c r="AK25" i="1"/>
  <c r="AK28" i="1"/>
  <c r="AK31" i="1"/>
  <c r="AK34" i="1"/>
  <c r="AK37" i="1"/>
  <c r="AK40" i="1"/>
  <c r="AK43" i="1"/>
  <c r="AK46" i="1"/>
  <c r="AK49" i="1"/>
  <c r="AK52" i="1"/>
  <c r="AK55" i="1"/>
  <c r="AK58" i="1"/>
  <c r="AK61" i="1"/>
  <c r="AK64" i="1"/>
  <c r="AK67" i="1"/>
  <c r="AK70" i="1"/>
  <c r="AK73" i="1"/>
  <c r="AK76" i="1"/>
  <c r="AK79" i="1"/>
  <c r="AK82" i="1"/>
  <c r="AK85" i="1"/>
  <c r="AK88" i="1"/>
  <c r="AK91" i="1"/>
  <c r="AK94" i="1"/>
  <c r="AK97" i="1"/>
  <c r="AK100" i="1"/>
  <c r="AK103" i="1"/>
  <c r="AK106" i="1"/>
  <c r="AK109" i="1"/>
  <c r="AK4" i="1"/>
  <c r="AJ7" i="1"/>
  <c r="AJ10" i="1"/>
  <c r="AJ13" i="1"/>
  <c r="AJ16" i="1"/>
  <c r="AJ19" i="1"/>
  <c r="AJ22" i="1"/>
  <c r="AJ25" i="1"/>
  <c r="AJ28" i="1"/>
  <c r="AJ31" i="1"/>
  <c r="AJ34" i="1"/>
  <c r="AJ37" i="1"/>
  <c r="AJ40" i="1"/>
  <c r="AJ43" i="1"/>
  <c r="AJ46" i="1"/>
  <c r="AJ49" i="1"/>
  <c r="AJ52" i="1"/>
  <c r="AJ55" i="1"/>
  <c r="AJ58" i="1"/>
  <c r="AJ61" i="1"/>
  <c r="AJ64" i="1"/>
  <c r="AJ67" i="1"/>
  <c r="AJ70" i="1"/>
  <c r="AJ73" i="1"/>
  <c r="AJ76" i="1"/>
  <c r="AJ79" i="1"/>
  <c r="AJ82" i="1"/>
  <c r="AJ85" i="1"/>
  <c r="AJ88" i="1"/>
  <c r="AJ91" i="1"/>
  <c r="AJ94" i="1"/>
  <c r="AJ97" i="1"/>
  <c r="AJ100" i="1"/>
  <c r="AJ103" i="1"/>
  <c r="AJ106" i="1"/>
  <c r="AJ109" i="1"/>
  <c r="AJ4" i="1"/>
  <c r="AA5" i="1"/>
  <c r="AA8" i="1"/>
  <c r="AA11" i="1"/>
  <c r="AA14" i="1"/>
  <c r="AA17" i="1"/>
  <c r="AA20" i="1"/>
  <c r="AA23" i="1"/>
  <c r="AA26" i="1"/>
  <c r="AA29" i="1"/>
  <c r="AA32" i="1"/>
  <c r="AA35" i="1"/>
  <c r="AA38" i="1"/>
  <c r="AA41" i="1"/>
  <c r="AA44" i="1"/>
  <c r="AA47" i="1"/>
  <c r="AA50" i="1"/>
  <c r="AA53" i="1"/>
  <c r="AA56" i="1"/>
  <c r="AA59" i="1"/>
  <c r="AA62" i="1"/>
  <c r="AA65" i="1"/>
  <c r="AA68" i="1"/>
  <c r="AA71" i="1"/>
  <c r="AA74" i="1"/>
  <c r="AA77" i="1"/>
  <c r="AA80" i="1"/>
  <c r="AA83" i="1"/>
  <c r="AA86" i="1"/>
  <c r="AA89" i="1"/>
  <c r="AA92" i="1"/>
  <c r="AA95" i="1"/>
  <c r="AA98" i="1"/>
  <c r="AA101" i="1"/>
  <c r="AA104" i="1"/>
  <c r="AA107" i="1"/>
  <c r="AA2" i="1"/>
  <c r="Y7" i="1"/>
  <c r="Y10" i="1"/>
  <c r="Y13" i="1"/>
  <c r="Y16" i="1"/>
  <c r="Y19" i="1"/>
  <c r="Y22" i="1"/>
  <c r="Y25" i="1"/>
  <c r="Y28" i="1"/>
  <c r="Y31" i="1"/>
  <c r="Y34" i="1"/>
  <c r="Y37" i="1"/>
  <c r="Y40" i="1"/>
  <c r="Y43" i="1"/>
  <c r="Y46" i="1"/>
  <c r="Y49" i="1"/>
  <c r="Y52" i="1"/>
  <c r="Y55" i="1"/>
  <c r="Y58" i="1"/>
  <c r="Y61" i="1"/>
  <c r="Y64" i="1"/>
  <c r="Y67" i="1"/>
  <c r="Y70" i="1"/>
  <c r="Y73" i="1"/>
  <c r="Y76" i="1"/>
  <c r="Y79" i="1"/>
  <c r="Y82" i="1"/>
  <c r="Y85" i="1"/>
  <c r="Y88" i="1"/>
  <c r="Y91" i="1"/>
  <c r="Y94" i="1"/>
  <c r="Y97" i="1"/>
  <c r="Y100" i="1"/>
  <c r="Y103" i="1"/>
  <c r="Y106" i="1"/>
  <c r="Y109" i="1"/>
  <c r="Y4" i="1"/>
  <c r="X7" i="1"/>
  <c r="X10" i="1"/>
  <c r="X13" i="1"/>
  <c r="X16" i="1"/>
  <c r="X19" i="1"/>
  <c r="X22" i="1"/>
  <c r="X25" i="1"/>
  <c r="X28" i="1"/>
  <c r="X31" i="1"/>
  <c r="X34" i="1"/>
  <c r="X37" i="1"/>
  <c r="X40" i="1"/>
  <c r="X43" i="1"/>
  <c r="X46" i="1"/>
  <c r="X49" i="1"/>
  <c r="X52" i="1"/>
  <c r="X55" i="1"/>
  <c r="X58" i="1"/>
  <c r="X61" i="1"/>
  <c r="X64" i="1"/>
  <c r="X67" i="1"/>
  <c r="X70" i="1"/>
  <c r="X73" i="1"/>
  <c r="X76" i="1"/>
  <c r="X79" i="1"/>
  <c r="X82" i="1"/>
  <c r="X85" i="1"/>
  <c r="X88" i="1"/>
  <c r="X91" i="1"/>
  <c r="X94" i="1"/>
  <c r="X97" i="1"/>
  <c r="X100" i="1"/>
  <c r="X103" i="1"/>
  <c r="X106" i="1"/>
  <c r="X109" i="1"/>
  <c r="X4" i="1"/>
  <c r="M6" i="3" l="1"/>
  <c r="M60" i="3"/>
  <c r="M36" i="3"/>
  <c r="Z31" i="3"/>
  <c r="AB30" i="3" s="1"/>
  <c r="Z37" i="3"/>
  <c r="AB36" i="3" s="1"/>
  <c r="Z40" i="3"/>
  <c r="AB39" i="3" s="1"/>
  <c r="Z25" i="3"/>
  <c r="AB24" i="3" s="1"/>
  <c r="Z19" i="3"/>
  <c r="AB21" i="3"/>
  <c r="Z43" i="3"/>
  <c r="AB42" i="3" s="1"/>
  <c r="Z55" i="3"/>
  <c r="AB54" i="3" s="1"/>
  <c r="Z10" i="3"/>
  <c r="AB9" i="3" s="1"/>
  <c r="Z49" i="3"/>
  <c r="AB48" i="3"/>
  <c r="AB6" i="3"/>
  <c r="Z13" i="3"/>
  <c r="AB12" i="3" s="1"/>
  <c r="Z28" i="3"/>
  <c r="AB27" i="3" s="1"/>
  <c r="Z34" i="3"/>
  <c r="AB33" i="3" s="1"/>
  <c r="Z58" i="3"/>
  <c r="AB57" i="3" s="1"/>
  <c r="Z4" i="3"/>
  <c r="AB3" i="3" s="1"/>
  <c r="Z16" i="3"/>
  <c r="AB15" i="3" s="1"/>
  <c r="Z52" i="3"/>
  <c r="AB51" i="3" s="1"/>
  <c r="AB18" i="3"/>
  <c r="Z46" i="3"/>
  <c r="AB45" i="3" s="1"/>
  <c r="Z61" i="3"/>
  <c r="AB60" i="3" s="1"/>
  <c r="Z46" i="2"/>
  <c r="P265" i="1"/>
  <c r="P208" i="1"/>
  <c r="P193" i="1"/>
  <c r="P112" i="1"/>
  <c r="P97" i="1"/>
  <c r="P16" i="1"/>
  <c r="P133" i="1"/>
  <c r="P37" i="1"/>
  <c r="P313" i="1"/>
  <c r="P256" i="1"/>
  <c r="P184" i="1"/>
  <c r="P169" i="1"/>
  <c r="P88" i="1"/>
  <c r="P73" i="1"/>
  <c r="P241" i="1"/>
  <c r="P205" i="1"/>
  <c r="P109" i="1"/>
  <c r="P13" i="1"/>
  <c r="P361" i="1"/>
  <c r="P340" i="1"/>
  <c r="P304" i="1"/>
  <c r="P160" i="1"/>
  <c r="P145" i="1"/>
  <c r="P64" i="1"/>
  <c r="P49" i="1"/>
  <c r="K19" i="2"/>
  <c r="M18" i="2" s="1"/>
  <c r="Z58" i="2"/>
  <c r="K4" i="2"/>
  <c r="K43" i="2"/>
  <c r="M42" i="2" s="1"/>
  <c r="Z7" i="2"/>
  <c r="AB6" i="2" s="1"/>
  <c r="AB57" i="2"/>
  <c r="K16" i="2"/>
  <c r="M15" i="2" s="1"/>
  <c r="Z22" i="2"/>
  <c r="AB21" i="2" s="1"/>
  <c r="K40" i="2"/>
  <c r="M39" i="2" s="1"/>
  <c r="Z4" i="2"/>
  <c r="Z43" i="2"/>
  <c r="Z55" i="2"/>
  <c r="AB54" i="2" s="1"/>
  <c r="K61" i="2"/>
  <c r="K7" i="2"/>
  <c r="M6" i="2" s="1"/>
  <c r="K22" i="2"/>
  <c r="M21" i="2" s="1"/>
  <c r="K46" i="2"/>
  <c r="M45" i="2" s="1"/>
  <c r="AB3" i="2"/>
  <c r="Z10" i="2"/>
  <c r="AB9" i="2" s="1"/>
  <c r="Z25" i="2"/>
  <c r="AB24" i="2" s="1"/>
  <c r="AB42" i="2"/>
  <c r="Z49" i="2"/>
  <c r="AB48" i="2" s="1"/>
  <c r="K37" i="2"/>
  <c r="M36" i="2" s="1"/>
  <c r="Z40" i="2"/>
  <c r="AB39" i="2" s="1"/>
  <c r="K31" i="2"/>
  <c r="M30" i="2" s="1"/>
  <c r="K55" i="2"/>
  <c r="M54" i="2" s="1"/>
  <c r="Z19" i="2"/>
  <c r="AB18" i="2" s="1"/>
  <c r="Z34" i="2"/>
  <c r="AB33" i="2" s="1"/>
  <c r="M60" i="2"/>
  <c r="K13" i="2"/>
  <c r="M12" i="2" s="1"/>
  <c r="K28" i="2"/>
  <c r="M27" i="2" s="1"/>
  <c r="Z16" i="2"/>
  <c r="AB15" i="2" s="1"/>
  <c r="M3" i="2"/>
  <c r="AB45" i="2"/>
  <c r="K52" i="2"/>
  <c r="M51" i="2" s="1"/>
  <c r="Z31" i="2"/>
  <c r="AB30" i="2" s="1"/>
  <c r="K10" i="2"/>
  <c r="M9" i="2" s="1"/>
  <c r="K25" i="2"/>
  <c r="M24" i="2" s="1"/>
  <c r="K49" i="2"/>
  <c r="M48" i="2" s="1"/>
  <c r="Z13" i="2"/>
  <c r="AB12" i="2" s="1"/>
  <c r="Z28" i="2"/>
  <c r="AB27" i="2" s="1"/>
  <c r="Z52" i="2"/>
  <c r="AB51" i="2" s="1"/>
  <c r="K34" i="2"/>
  <c r="M33" i="2" s="1"/>
  <c r="K58" i="2"/>
  <c r="M57" i="2" s="1"/>
  <c r="Z37" i="2"/>
  <c r="AB36" i="2" s="1"/>
  <c r="Z61" i="2"/>
  <c r="AB60" i="2" s="1"/>
  <c r="AL106" i="1"/>
  <c r="AN105" i="1" s="1"/>
  <c r="AO105" i="1" s="1"/>
  <c r="AL58" i="1"/>
  <c r="AN57" i="1" s="1"/>
  <c r="AO57" i="1" s="1"/>
  <c r="AL34" i="1"/>
  <c r="AN33" i="1" s="1"/>
  <c r="AO33" i="1" s="1"/>
  <c r="AL10" i="1"/>
  <c r="AL94" i="1"/>
  <c r="AN93" i="1" s="1"/>
  <c r="AO93" i="1" s="1"/>
  <c r="AL70" i="1"/>
  <c r="AN69" i="1" s="1"/>
  <c r="AO69" i="1" s="1"/>
  <c r="AL109" i="1"/>
  <c r="AN108" i="1" s="1"/>
  <c r="AO108" i="1" s="1"/>
  <c r="AL85" i="1"/>
  <c r="AN84" i="1" s="1"/>
  <c r="AO84" i="1" s="1"/>
  <c r="AL61" i="1"/>
  <c r="AL37" i="1"/>
  <c r="AN36" i="1" s="1"/>
  <c r="AO36" i="1" s="1"/>
  <c r="AL97" i="1"/>
  <c r="AN96" i="1" s="1"/>
  <c r="AO96" i="1" s="1"/>
  <c r="AL13" i="1"/>
  <c r="AN12" i="1" s="1"/>
  <c r="AO12" i="1" s="1"/>
  <c r="AN9" i="1"/>
  <c r="AO9" i="1" s="1"/>
  <c r="AL46" i="1"/>
  <c r="AN45" i="1" s="1"/>
  <c r="AO45" i="1" s="1"/>
  <c r="AL22" i="1"/>
  <c r="AN21" i="1" s="1"/>
  <c r="AO21" i="1" s="1"/>
  <c r="AL79" i="1"/>
  <c r="AN78" i="1" s="1"/>
  <c r="AO78" i="1" s="1"/>
  <c r="AL7" i="1"/>
  <c r="AN6" i="1" s="1"/>
  <c r="AO6" i="1" s="1"/>
  <c r="AL43" i="1"/>
  <c r="AN42" i="1" s="1"/>
  <c r="AO42" i="1" s="1"/>
  <c r="AL19" i="1"/>
  <c r="AN18" i="1" s="1"/>
  <c r="AO18" i="1" s="1"/>
  <c r="AL103" i="1"/>
  <c r="AN102" i="1" s="1"/>
  <c r="AO102" i="1" s="1"/>
  <c r="AL31" i="1"/>
  <c r="AN30" i="1" s="1"/>
  <c r="AO30" i="1" s="1"/>
  <c r="AL67" i="1"/>
  <c r="AN66" i="1" s="1"/>
  <c r="AO66" i="1" s="1"/>
  <c r="AL100" i="1"/>
  <c r="AN99" i="1" s="1"/>
  <c r="AO99" i="1" s="1"/>
  <c r="AL52" i="1"/>
  <c r="AN51" i="1" s="1"/>
  <c r="AO51" i="1" s="1"/>
  <c r="AL88" i="1"/>
  <c r="AN87" i="1" s="1"/>
  <c r="AO87" i="1" s="1"/>
  <c r="AL40" i="1"/>
  <c r="AN39" i="1" s="1"/>
  <c r="AO39" i="1" s="1"/>
  <c r="AL55" i="1"/>
  <c r="AN54" i="1" s="1"/>
  <c r="AO54" i="1" s="1"/>
  <c r="AL91" i="1"/>
  <c r="AN90" i="1" s="1"/>
  <c r="AO90" i="1" s="1"/>
  <c r="AL76" i="1"/>
  <c r="AN75" i="1" s="1"/>
  <c r="AO75" i="1" s="1"/>
  <c r="AL28" i="1"/>
  <c r="AN27" i="1" s="1"/>
  <c r="AO27" i="1" s="1"/>
  <c r="AL4" i="1"/>
  <c r="AN3" i="1" s="1"/>
  <c r="AO3" i="1" s="1"/>
  <c r="AL64" i="1"/>
  <c r="AN63" i="1" s="1"/>
  <c r="AO63" i="1" s="1"/>
  <c r="AL16" i="1"/>
  <c r="AN15" i="1" s="1"/>
  <c r="AO15" i="1" s="1"/>
  <c r="AL82" i="1"/>
  <c r="AN81" i="1" s="1"/>
  <c r="AO81" i="1" s="1"/>
  <c r="AN60" i="1"/>
  <c r="AO60" i="1" s="1"/>
  <c r="AL73" i="1"/>
  <c r="AN72" i="1" s="1"/>
  <c r="AO72" i="1" s="1"/>
  <c r="AL49" i="1"/>
  <c r="AN48" i="1" s="1"/>
  <c r="AO48" i="1" s="1"/>
  <c r="AL25" i="1"/>
  <c r="AN24" i="1" s="1"/>
  <c r="AO24" i="1" s="1"/>
  <c r="Z100" i="1"/>
  <c r="AB99" i="1" s="1"/>
  <c r="AC99" i="1" s="1"/>
  <c r="Z76" i="1"/>
  <c r="AB75" i="1" s="1"/>
  <c r="AC75" i="1" s="1"/>
  <c r="Z52" i="1"/>
  <c r="AB51" i="1" s="1"/>
  <c r="AC51" i="1" s="1"/>
  <c r="Z28" i="1"/>
  <c r="AB27" i="1" s="1"/>
  <c r="AC27" i="1" s="1"/>
  <c r="Z4" i="1"/>
  <c r="AB3" i="1" s="1"/>
  <c r="AC3" i="1" s="1"/>
  <c r="Z88" i="1"/>
  <c r="AB87" i="1" s="1"/>
  <c r="AC87" i="1" s="1"/>
  <c r="Z64" i="1"/>
  <c r="AB63" i="1" s="1"/>
  <c r="AC63" i="1" s="1"/>
  <c r="Z40" i="1"/>
  <c r="AB39" i="1" s="1"/>
  <c r="AC39" i="1" s="1"/>
  <c r="Z16" i="1"/>
  <c r="AB15" i="1" s="1"/>
  <c r="AC15" i="1" s="1"/>
  <c r="Z61" i="1"/>
  <c r="AB60" i="1" s="1"/>
  <c r="AC60" i="1" s="1"/>
  <c r="Z13" i="1"/>
  <c r="AB12" i="1" s="1"/>
  <c r="AC12" i="1" s="1"/>
  <c r="Z97" i="1"/>
  <c r="AB96" i="1" s="1"/>
  <c r="AC96" i="1" s="1"/>
  <c r="Z49" i="1"/>
  <c r="AB48" i="1" s="1"/>
  <c r="AC48" i="1" s="1"/>
  <c r="Z106" i="1"/>
  <c r="AB105" i="1" s="1"/>
  <c r="AC105" i="1" s="1"/>
  <c r="Z82" i="1"/>
  <c r="AB81" i="1" s="1"/>
  <c r="AC81" i="1" s="1"/>
  <c r="Z58" i="1"/>
  <c r="AB57" i="1" s="1"/>
  <c r="AC57" i="1" s="1"/>
  <c r="Z34" i="1"/>
  <c r="AB33" i="1" s="1"/>
  <c r="AC33" i="1" s="1"/>
  <c r="Z10" i="1"/>
  <c r="AB9" i="1" s="1"/>
  <c r="AC9" i="1" s="1"/>
  <c r="Z94" i="1"/>
  <c r="AB93" i="1" s="1"/>
  <c r="AC93" i="1" s="1"/>
  <c r="Z70" i="1"/>
  <c r="AB69" i="1" s="1"/>
  <c r="AC69" i="1" s="1"/>
  <c r="Z46" i="1"/>
  <c r="AB45" i="1" s="1"/>
  <c r="AC45" i="1" s="1"/>
  <c r="Z22" i="1"/>
  <c r="AB21" i="1" s="1"/>
  <c r="AC21" i="1" s="1"/>
  <c r="Z109" i="1"/>
  <c r="AB108" i="1" s="1"/>
  <c r="Z85" i="1"/>
  <c r="AB84" i="1" s="1"/>
  <c r="AC84" i="1" s="1"/>
  <c r="Z37" i="1"/>
  <c r="AB36" i="1" s="1"/>
  <c r="AC36" i="1" s="1"/>
  <c r="Z73" i="1"/>
  <c r="AB72" i="1" s="1"/>
  <c r="AC72" i="1" s="1"/>
  <c r="Z25" i="1"/>
  <c r="AB24" i="1" s="1"/>
  <c r="AC24" i="1" s="1"/>
  <c r="Z103" i="1"/>
  <c r="AB102" i="1" s="1"/>
  <c r="AC102" i="1" s="1"/>
  <c r="Z79" i="1"/>
  <c r="AB78" i="1" s="1"/>
  <c r="AC78" i="1" s="1"/>
  <c r="Z55" i="1"/>
  <c r="AB54" i="1" s="1"/>
  <c r="AC54" i="1" s="1"/>
  <c r="Z31" i="1"/>
  <c r="AB30" i="1" s="1"/>
  <c r="AC30" i="1" s="1"/>
  <c r="Z7" i="1"/>
  <c r="AB6" i="1" s="1"/>
  <c r="AC6" i="1" s="1"/>
  <c r="Z91" i="1"/>
  <c r="AB90" i="1" s="1"/>
  <c r="AC90" i="1" s="1"/>
  <c r="Z67" i="1"/>
  <c r="AB66" i="1" s="1"/>
  <c r="AC66" i="1" s="1"/>
  <c r="Z43" i="1"/>
  <c r="AB42" i="1" s="1"/>
  <c r="AC42" i="1" s="1"/>
  <c r="Z19" i="1"/>
  <c r="AB18" i="1" s="1"/>
  <c r="AC18" i="1" s="1"/>
  <c r="AC108" i="1" l="1"/>
  <c r="AB110" i="1"/>
  <c r="J57" i="2" l="1"/>
  <c r="J57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<sst xmlns="http://schemas.openxmlformats.org/spreadsheetml/2006/main" count="1205" uniqueCount="51">
  <si>
    <t xml:space="preserve">measurement </t>
  </si>
  <si>
    <t>nuc-oligodT</t>
  </si>
  <si>
    <t>wc-oligodT</t>
  </si>
  <si>
    <t>nuc-Mcm2</t>
  </si>
  <si>
    <t>Area</t>
  </si>
  <si>
    <t>Mean</t>
  </si>
  <si>
    <t>Min</t>
  </si>
  <si>
    <t>Max</t>
  </si>
  <si>
    <t>IntDen</t>
  </si>
  <si>
    <t>RawIntDen</t>
  </si>
  <si>
    <t>qNSC</t>
  </si>
  <si>
    <t>b1_s1-2_series 11</t>
  </si>
  <si>
    <t>aNSC</t>
  </si>
  <si>
    <t>nice process, separation</t>
  </si>
  <si>
    <t>b1_s1-2_series 02</t>
  </si>
  <si>
    <t>b1_s1-2_series 04</t>
  </si>
  <si>
    <t>b1_s1-2_series 07</t>
  </si>
  <si>
    <t>b1_s1-2_series 08</t>
  </si>
  <si>
    <t>b1_s1-2_series 09</t>
  </si>
  <si>
    <t>b1_s1-2_series 10</t>
  </si>
  <si>
    <t>b1_s1-2_series 12</t>
  </si>
  <si>
    <t>26 aNSC</t>
  </si>
  <si>
    <t>good nuc enrichment</t>
  </si>
  <si>
    <t>b1_s3_series 1</t>
  </si>
  <si>
    <t>b1_s3_series 2</t>
  </si>
  <si>
    <t>b1_s3_series 3</t>
  </si>
  <si>
    <t>b1_s3_series 4</t>
  </si>
  <si>
    <t>b1_s3_series 6</t>
  </si>
  <si>
    <t>b1_s3_series 5</t>
  </si>
  <si>
    <t>b1_s3_series 7</t>
  </si>
  <si>
    <t>b1_s3_series 8</t>
  </si>
  <si>
    <t>there are more pictures</t>
  </si>
  <si>
    <t>36 aNSC</t>
  </si>
  <si>
    <t>cyto area</t>
  </si>
  <si>
    <t>cyto rawIntDen</t>
  </si>
  <si>
    <t>cyto rawintDen/area</t>
  </si>
  <si>
    <t>nuc rawIntDen/area</t>
  </si>
  <si>
    <t>nuc/cyto RawIntDen/area</t>
  </si>
  <si>
    <t>norm</t>
  </si>
  <si>
    <t>Cyto area</t>
  </si>
  <si>
    <t>Cyto RawIntDen</t>
  </si>
  <si>
    <t>Cyto RawIntDen/area</t>
  </si>
  <si>
    <t>Nuc RawIntDen/area</t>
  </si>
  <si>
    <t>nuc/cyto ratio</t>
  </si>
  <si>
    <t>norm to aNSC</t>
  </si>
  <si>
    <t>Rep1</t>
  </si>
  <si>
    <t>aNSC-norm</t>
  </si>
  <si>
    <t>qNSC-norm</t>
  </si>
  <si>
    <t>Rep2</t>
  </si>
  <si>
    <t>Rep3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</si>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</sst>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5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6C0F-64E8-2E46-8C23-EFE6B6F67AA6}">
  <dimension ref="A1:AO362"/>
  <sheetViews>
    <sheetView workbookViewId="0">
      <selection sqref="A1:R1048576"/>
    </sheetView>
  </sheetViews>
  <sheetFormatPr baseColWidth="10" defaultRowHeight="16" x14ac:dyDescent="0.2"/>
  <cols>
    <col min="1" max="1" width="19.1640625" customWidth="1"/>
  </cols>
  <sheetData>
    <row r="1" spans="1:41" x14ac:dyDescent="0.2">
      <c r="U1" t="s">
        <v>0</v>
      </c>
      <c r="V1" t="s">
        <v>4</v>
      </c>
      <c r="W1" t="s">
        <v>9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G1" t="s">
        <v>0</v>
      </c>
      <c r="AH1" t="s">
        <v>4</v>
      </c>
      <c r="AI1" t="s">
        <v>9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2" spans="1:41" x14ac:dyDescent="0.2">
      <c r="D2" t="s">
        <v>0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S2" s="2" t="s">
        <v>12</v>
      </c>
      <c r="T2">
        <v>1</v>
      </c>
      <c r="U2" t="s">
        <v>1</v>
      </c>
      <c r="V2">
        <v>66.754999999999995</v>
      </c>
      <c r="W2">
        <v>1720603</v>
      </c>
      <c r="AA2">
        <f>W2/V2</f>
        <v>25774.893266421994</v>
      </c>
      <c r="AE2" s="10" t="s">
        <v>10</v>
      </c>
      <c r="AF2">
        <v>7</v>
      </c>
      <c r="AG2" t="s">
        <v>1</v>
      </c>
      <c r="AH2">
        <v>23.844999999999999</v>
      </c>
      <c r="AI2">
        <v>746338</v>
      </c>
      <c r="AM2">
        <f>AI2/AH2</f>
        <v>31299.559656112393</v>
      </c>
    </row>
    <row r="3" spans="1:41" x14ac:dyDescent="0.2">
      <c r="A3" t="s">
        <v>11</v>
      </c>
      <c r="B3" s="10" t="s">
        <v>10</v>
      </c>
      <c r="C3">
        <v>1</v>
      </c>
      <c r="D3" t="s">
        <v>1</v>
      </c>
      <c r="E3">
        <v>27.7</v>
      </c>
      <c r="F3">
        <v>888.16499999999996</v>
      </c>
      <c r="G3">
        <v>321</v>
      </c>
      <c r="H3">
        <v>1384</v>
      </c>
      <c r="I3">
        <v>24602.307000000001</v>
      </c>
      <c r="J3">
        <v>931685</v>
      </c>
      <c r="O3">
        <f>J3/E3</f>
        <v>33634.837545126356</v>
      </c>
      <c r="S3" s="2"/>
      <c r="T3">
        <v>2</v>
      </c>
      <c r="U3" t="s">
        <v>3</v>
      </c>
      <c r="V3">
        <v>66.754999999999995</v>
      </c>
      <c r="W3">
        <v>2690731</v>
      </c>
      <c r="AB3">
        <f>AA2/Z4</f>
        <v>1.1572756647680442</v>
      </c>
      <c r="AC3">
        <f>AB3/1.05802901</f>
        <v>1.0938033398233988</v>
      </c>
      <c r="AE3" s="10"/>
      <c r="AF3">
        <v>8</v>
      </c>
      <c r="AG3" t="s">
        <v>3</v>
      </c>
      <c r="AH3">
        <v>23.844999999999999</v>
      </c>
      <c r="AI3">
        <v>263419</v>
      </c>
      <c r="AN3">
        <f>AM2/AL4</f>
        <v>1.1372049997035194</v>
      </c>
      <c r="AO3">
        <f>AN3/1.05802901</f>
        <v>1.0748334771118604</v>
      </c>
    </row>
    <row r="4" spans="1:41" x14ac:dyDescent="0.2">
      <c r="B4" s="10"/>
      <c r="C4">
        <v>2</v>
      </c>
      <c r="D4" t="s">
        <v>3</v>
      </c>
      <c r="E4">
        <v>27.7</v>
      </c>
      <c r="F4">
        <v>296.541</v>
      </c>
      <c r="G4">
        <v>189</v>
      </c>
      <c r="H4">
        <v>430</v>
      </c>
      <c r="I4">
        <v>8214.2450000000008</v>
      </c>
      <c r="J4">
        <v>311072</v>
      </c>
      <c r="P4" s="7">
        <f>O3/N5</f>
        <v>1.4188879037186723</v>
      </c>
      <c r="S4" s="2"/>
      <c r="T4">
        <v>3</v>
      </c>
      <c r="U4" t="s">
        <v>2</v>
      </c>
      <c r="V4">
        <v>110.193</v>
      </c>
      <c r="W4">
        <v>2688056</v>
      </c>
      <c r="X4">
        <f>V4-V2</f>
        <v>43.438000000000002</v>
      </c>
      <c r="Y4">
        <f>W4-W2</f>
        <v>967453</v>
      </c>
      <c r="Z4">
        <f>Y4/X4</f>
        <v>22272.042911736266</v>
      </c>
      <c r="AE4" s="10"/>
      <c r="AF4">
        <v>9</v>
      </c>
      <c r="AG4" t="s">
        <v>2</v>
      </c>
      <c r="AH4">
        <v>33.033999999999999</v>
      </c>
      <c r="AI4">
        <v>999249</v>
      </c>
      <c r="AJ4">
        <f>AH4-AH2</f>
        <v>9.1890000000000001</v>
      </c>
      <c r="AK4">
        <f>AI4-AI2</f>
        <v>252911</v>
      </c>
      <c r="AL4">
        <f>AK4/AJ4</f>
        <v>27523.234301882687</v>
      </c>
    </row>
    <row r="5" spans="1:41" x14ac:dyDescent="0.2">
      <c r="B5" s="10"/>
      <c r="C5">
        <v>3</v>
      </c>
      <c r="D5" t="s">
        <v>2</v>
      </c>
      <c r="E5">
        <v>54.503</v>
      </c>
      <c r="F5">
        <v>759.23099999999999</v>
      </c>
      <c r="G5">
        <v>238</v>
      </c>
      <c r="H5">
        <v>1384</v>
      </c>
      <c r="I5">
        <v>41379.966999999997</v>
      </c>
      <c r="J5">
        <v>1567052</v>
      </c>
      <c r="L5">
        <f>E5-E4</f>
        <v>26.803000000000001</v>
      </c>
      <c r="M5">
        <f>J5-J3</f>
        <v>635367</v>
      </c>
      <c r="N5">
        <f>M5/L5</f>
        <v>23705.070327948364</v>
      </c>
      <c r="S5" s="2" t="s">
        <v>12</v>
      </c>
      <c r="T5">
        <v>4</v>
      </c>
      <c r="U5" t="s">
        <v>1</v>
      </c>
      <c r="V5">
        <v>26.221</v>
      </c>
      <c r="W5">
        <v>796173</v>
      </c>
      <c r="AA5">
        <f t="shared" ref="AA5" si="0">W5/V5</f>
        <v>30363.944929636549</v>
      </c>
      <c r="AE5" s="10" t="s">
        <v>10</v>
      </c>
      <c r="AF5">
        <v>10</v>
      </c>
      <c r="AG5" t="s">
        <v>1</v>
      </c>
      <c r="AH5">
        <v>34.433999999999997</v>
      </c>
      <c r="AI5">
        <v>746400</v>
      </c>
      <c r="AM5">
        <f t="shared" ref="AM5" si="1">AI5/AH5</f>
        <v>21676.250217807981</v>
      </c>
    </row>
    <row r="6" spans="1:41" x14ac:dyDescent="0.2">
      <c r="B6" s="2" t="s">
        <v>12</v>
      </c>
      <c r="C6">
        <v>1</v>
      </c>
      <c r="D6" t="s">
        <v>1</v>
      </c>
      <c r="E6">
        <v>66.754999999999995</v>
      </c>
      <c r="F6">
        <v>680.61800000000005</v>
      </c>
      <c r="G6">
        <v>332</v>
      </c>
      <c r="H6">
        <v>1208</v>
      </c>
      <c r="I6">
        <v>45434.673000000003</v>
      </c>
      <c r="J6">
        <v>1720603</v>
      </c>
      <c r="O6">
        <f t="shared" ref="O6" si="2">J6/E6</f>
        <v>25774.893266421994</v>
      </c>
      <c r="S6" s="2"/>
      <c r="T6">
        <v>5</v>
      </c>
      <c r="U6" t="s">
        <v>3</v>
      </c>
      <c r="V6">
        <v>26.221</v>
      </c>
      <c r="W6">
        <v>1285083</v>
      </c>
      <c r="AB6">
        <f t="shared" ref="AB6" si="3">AA5/Z7</f>
        <v>0.9664629881204384</v>
      </c>
      <c r="AC6">
        <f t="shared" ref="AC6" si="4">AB6/1.05802901</f>
        <v>0.91345603852623891</v>
      </c>
      <c r="AE6" s="10"/>
      <c r="AF6">
        <v>11</v>
      </c>
      <c r="AG6" t="s">
        <v>3</v>
      </c>
      <c r="AH6">
        <v>34.433999999999997</v>
      </c>
      <c r="AI6">
        <v>396143</v>
      </c>
      <c r="AN6">
        <f t="shared" ref="AN6" si="5">AM5/AL7</f>
        <v>1.080151861312229</v>
      </c>
      <c r="AO6">
        <f t="shared" ref="AO6" si="6">AN6/1.05802901</f>
        <v>1.0209094940716501</v>
      </c>
    </row>
    <row r="7" spans="1:41" x14ac:dyDescent="0.2">
      <c r="B7" s="2"/>
      <c r="C7">
        <v>2</v>
      </c>
      <c r="D7" t="s">
        <v>3</v>
      </c>
      <c r="E7">
        <v>66.754999999999995</v>
      </c>
      <c r="F7">
        <v>1064.3710000000001</v>
      </c>
      <c r="G7">
        <v>353</v>
      </c>
      <c r="H7">
        <v>2851</v>
      </c>
      <c r="I7">
        <v>71052.115000000005</v>
      </c>
      <c r="J7">
        <v>2690731</v>
      </c>
      <c r="P7" s="4">
        <f t="shared" ref="P7" si="7">O6/N8</f>
        <v>1.1572756647680442</v>
      </c>
      <c r="S7" s="2"/>
      <c r="T7">
        <v>6</v>
      </c>
      <c r="U7" t="s">
        <v>2</v>
      </c>
      <c r="V7">
        <v>48.429000000000002</v>
      </c>
      <c r="W7">
        <v>1493895</v>
      </c>
      <c r="X7">
        <f>V7-V5</f>
        <v>22.208000000000002</v>
      </c>
      <c r="Y7">
        <f t="shared" ref="Y7" si="8">W7-W5</f>
        <v>697722</v>
      </c>
      <c r="Z7">
        <f t="shared" ref="Z7" si="9">Y7/X7</f>
        <v>31417.597262247837</v>
      </c>
      <c r="AE7" s="10"/>
      <c r="AF7">
        <v>12</v>
      </c>
      <c r="AG7" t="s">
        <v>2</v>
      </c>
      <c r="AH7">
        <v>62.451000000000001</v>
      </c>
      <c r="AI7">
        <v>1308639</v>
      </c>
      <c r="AJ7">
        <f t="shared" ref="AJ7:AK7" si="10">AH7-AH5</f>
        <v>28.017000000000003</v>
      </c>
      <c r="AK7">
        <f t="shared" si="10"/>
        <v>562239</v>
      </c>
      <c r="AL7">
        <f t="shared" ref="AL7" si="11">AK7/AJ7</f>
        <v>20067.780276260841</v>
      </c>
    </row>
    <row r="8" spans="1:41" x14ac:dyDescent="0.2">
      <c r="B8" s="2"/>
      <c r="C8">
        <v>3</v>
      </c>
      <c r="D8" t="s">
        <v>2</v>
      </c>
      <c r="E8">
        <v>110.193</v>
      </c>
      <c r="F8">
        <v>644.154</v>
      </c>
      <c r="G8">
        <v>291</v>
      </c>
      <c r="H8">
        <v>1627</v>
      </c>
      <c r="I8">
        <v>70981.479000000007</v>
      </c>
      <c r="J8">
        <v>2688056</v>
      </c>
      <c r="L8">
        <f t="shared" ref="L8" si="12">E8-E7</f>
        <v>43.438000000000002</v>
      </c>
      <c r="M8">
        <f t="shared" ref="M8" si="13">J8-J6</f>
        <v>967453</v>
      </c>
      <c r="N8">
        <f t="shared" ref="N8" si="14">M8/L8</f>
        <v>22272.042911736266</v>
      </c>
      <c r="S8" s="2" t="s">
        <v>12</v>
      </c>
      <c r="T8">
        <v>24</v>
      </c>
      <c r="U8" t="s">
        <v>1</v>
      </c>
      <c r="V8">
        <v>32.030999999999999</v>
      </c>
      <c r="W8">
        <v>813997</v>
      </c>
      <c r="AA8">
        <f t="shared" ref="AA8" si="15">W8/V8</f>
        <v>25412.787612000877</v>
      </c>
      <c r="AE8" s="10" t="s">
        <v>10</v>
      </c>
      <c r="AF8">
        <v>13</v>
      </c>
      <c r="AG8" t="s">
        <v>1</v>
      </c>
      <c r="AH8">
        <v>25.271000000000001</v>
      </c>
      <c r="AI8">
        <v>587230</v>
      </c>
      <c r="AM8">
        <f t="shared" ref="AM8" si="16">AI8/AH8</f>
        <v>23237.30758577025</v>
      </c>
    </row>
    <row r="9" spans="1:41" x14ac:dyDescent="0.2">
      <c r="B9" s="2" t="s">
        <v>12</v>
      </c>
      <c r="C9">
        <v>4</v>
      </c>
      <c r="D9" t="s">
        <v>1</v>
      </c>
      <c r="E9">
        <v>26.221</v>
      </c>
      <c r="F9">
        <v>801.78499999999997</v>
      </c>
      <c r="G9">
        <v>453</v>
      </c>
      <c r="H9">
        <v>1587</v>
      </c>
      <c r="I9">
        <v>21023.942999999999</v>
      </c>
      <c r="J9">
        <v>796173</v>
      </c>
      <c r="O9">
        <f t="shared" ref="O9" si="17">J9/E9</f>
        <v>30363.944929636549</v>
      </c>
      <c r="S9" s="2"/>
      <c r="T9">
        <v>25</v>
      </c>
      <c r="U9" t="s">
        <v>3</v>
      </c>
      <c r="V9">
        <v>32.030999999999999</v>
      </c>
      <c r="W9">
        <v>1157383</v>
      </c>
      <c r="AB9">
        <f t="shared" ref="AB9" si="18">AA8/Z10</f>
        <v>1.0447343176830091</v>
      </c>
      <c r="AC9">
        <f t="shared" ref="AC9" si="19">AB9/1.05802901</f>
        <v>0.98743447278729057</v>
      </c>
      <c r="AE9" s="10"/>
      <c r="AF9">
        <v>14</v>
      </c>
      <c r="AG9" t="s">
        <v>3</v>
      </c>
      <c r="AH9">
        <v>25.271000000000001</v>
      </c>
      <c r="AI9">
        <v>320423</v>
      </c>
      <c r="AN9">
        <f t="shared" ref="AN9" si="20">AM8/AL10</f>
        <v>1.1775786700743114</v>
      </c>
      <c r="AO9">
        <f t="shared" ref="AO9" si="21">AN9/1.05802901</f>
        <v>1.1129927997667204</v>
      </c>
    </row>
    <row r="10" spans="1:41" x14ac:dyDescent="0.2">
      <c r="B10" s="2"/>
      <c r="C10">
        <v>5</v>
      </c>
      <c r="D10" t="s">
        <v>3</v>
      </c>
      <c r="E10">
        <v>26.221</v>
      </c>
      <c r="F10">
        <v>1294.1420000000001</v>
      </c>
      <c r="G10">
        <v>283</v>
      </c>
      <c r="H10">
        <v>3426</v>
      </c>
      <c r="I10">
        <v>33934.222999999998</v>
      </c>
      <c r="J10">
        <v>1285083</v>
      </c>
      <c r="P10" s="4">
        <f t="shared" ref="P10" si="22">O9/N11</f>
        <v>0.9664629881204384</v>
      </c>
      <c r="S10" s="2"/>
      <c r="T10">
        <v>26</v>
      </c>
      <c r="U10" t="s">
        <v>2</v>
      </c>
      <c r="V10">
        <v>63.401000000000003</v>
      </c>
      <c r="W10">
        <v>1577061</v>
      </c>
      <c r="X10">
        <f t="shared" ref="X10:Y10" si="23">V10-V8</f>
        <v>31.370000000000005</v>
      </c>
      <c r="Y10">
        <f t="shared" si="23"/>
        <v>763064</v>
      </c>
      <c r="Z10">
        <f t="shared" ref="Z10" si="24">Y10/X10</f>
        <v>24324.641377111886</v>
      </c>
      <c r="AE10" s="10"/>
      <c r="AF10">
        <v>15</v>
      </c>
      <c r="AG10" t="s">
        <v>2</v>
      </c>
      <c r="AH10">
        <v>47.716000000000001</v>
      </c>
      <c r="AI10">
        <v>1030140</v>
      </c>
      <c r="AJ10">
        <f t="shared" ref="AJ10:AK10" si="25">AH10-AH8</f>
        <v>22.445</v>
      </c>
      <c r="AK10">
        <f t="shared" si="25"/>
        <v>442910</v>
      </c>
      <c r="AL10">
        <f t="shared" ref="AL10" si="26">AK10/AJ10</f>
        <v>19733.125417687679</v>
      </c>
    </row>
    <row r="11" spans="1:41" x14ac:dyDescent="0.2">
      <c r="B11" s="2"/>
      <c r="C11">
        <v>6</v>
      </c>
      <c r="D11" t="s">
        <v>2</v>
      </c>
      <c r="E11">
        <v>48.429000000000002</v>
      </c>
      <c r="F11">
        <v>814.55600000000004</v>
      </c>
      <c r="G11">
        <v>453</v>
      </c>
      <c r="H11">
        <v>1695</v>
      </c>
      <c r="I11">
        <v>39448.165000000001</v>
      </c>
      <c r="J11">
        <v>1493895</v>
      </c>
      <c r="L11">
        <f t="shared" ref="L11" si="27">E11-E10</f>
        <v>22.208000000000002</v>
      </c>
      <c r="M11">
        <f t="shared" ref="M11" si="28">J11-J9</f>
        <v>697722</v>
      </c>
      <c r="N11">
        <f t="shared" ref="N11" si="29">M11/L11</f>
        <v>31417.597262247837</v>
      </c>
      <c r="S11" s="2" t="s">
        <v>12</v>
      </c>
      <c r="U11" t="s">
        <v>1</v>
      </c>
      <c r="V11">
        <v>33.033999999999999</v>
      </c>
      <c r="W11">
        <v>999591</v>
      </c>
      <c r="AA11">
        <f t="shared" ref="AA11" si="30">W11/V11</f>
        <v>30259.459950354183</v>
      </c>
      <c r="AE11" s="10" t="s">
        <v>10</v>
      </c>
      <c r="AF11">
        <v>16</v>
      </c>
      <c r="AG11" t="s">
        <v>1</v>
      </c>
      <c r="AH11">
        <v>30.13</v>
      </c>
      <c r="AI11">
        <v>562031</v>
      </c>
      <c r="AM11">
        <f t="shared" ref="AM11" si="31">AI11/AH11</f>
        <v>18653.534683040161</v>
      </c>
    </row>
    <row r="12" spans="1:41" x14ac:dyDescent="0.2">
      <c r="B12" s="10" t="s">
        <v>10</v>
      </c>
      <c r="C12">
        <v>7</v>
      </c>
      <c r="D12" t="s">
        <v>1</v>
      </c>
      <c r="E12">
        <v>23.844999999999999</v>
      </c>
      <c r="F12">
        <v>826.50900000000001</v>
      </c>
      <c r="G12">
        <v>502</v>
      </c>
      <c r="H12">
        <v>1305</v>
      </c>
      <c r="I12">
        <v>19707.988000000001</v>
      </c>
      <c r="J12">
        <v>746338</v>
      </c>
      <c r="O12">
        <f t="shared" ref="O12" si="32">J12/E12</f>
        <v>31299.559656112393</v>
      </c>
      <c r="S12" s="2"/>
      <c r="U12" t="s">
        <v>3</v>
      </c>
      <c r="V12">
        <v>33.033999999999999</v>
      </c>
      <c r="W12">
        <v>1518214</v>
      </c>
      <c r="AB12">
        <f t="shared" ref="AB12" si="33">AA11/Z13</f>
        <v>0.95059384262209667</v>
      </c>
      <c r="AC12">
        <f t="shared" ref="AC12" si="34">AB12/1.05802901</f>
        <v>0.89845725744523453</v>
      </c>
      <c r="AE12" s="10"/>
      <c r="AF12">
        <v>17</v>
      </c>
      <c r="AG12" t="s">
        <v>3</v>
      </c>
      <c r="AH12">
        <v>30.13</v>
      </c>
      <c r="AI12">
        <v>339087</v>
      </c>
      <c r="AN12">
        <f t="shared" ref="AN12" si="35">AM11/AL13</f>
        <v>1.1588104866658124</v>
      </c>
      <c r="AO12">
        <f t="shared" ref="AO12" si="36">AN12/1.05802901</f>
        <v>1.095253982370306</v>
      </c>
    </row>
    <row r="13" spans="1:41" x14ac:dyDescent="0.2">
      <c r="B13" s="10"/>
      <c r="C13">
        <v>8</v>
      </c>
      <c r="D13" t="s">
        <v>3</v>
      </c>
      <c r="E13">
        <v>23.844999999999999</v>
      </c>
      <c r="F13">
        <v>291.71499999999997</v>
      </c>
      <c r="G13">
        <v>179</v>
      </c>
      <c r="H13">
        <v>528</v>
      </c>
      <c r="I13">
        <v>6955.9080000000004</v>
      </c>
      <c r="J13">
        <v>263419</v>
      </c>
      <c r="P13">
        <f t="shared" ref="P13" si="37">O12/N14</f>
        <v>1.1372049997035194</v>
      </c>
      <c r="S13" s="2"/>
      <c r="U13" t="s">
        <v>2</v>
      </c>
      <c r="V13">
        <v>49.722999999999999</v>
      </c>
      <c r="W13">
        <v>1530838</v>
      </c>
      <c r="X13">
        <f t="shared" ref="X13:Y13" si="38">V13-V11</f>
        <v>16.689</v>
      </c>
      <c r="Y13">
        <f t="shared" si="38"/>
        <v>531247</v>
      </c>
      <c r="Z13">
        <f t="shared" ref="Z13" si="39">Y13/X13</f>
        <v>31832.164899035291</v>
      </c>
      <c r="AE13" s="10"/>
      <c r="AF13">
        <v>18</v>
      </c>
      <c r="AG13" t="s">
        <v>2</v>
      </c>
      <c r="AH13">
        <v>50.41</v>
      </c>
      <c r="AI13">
        <v>888481</v>
      </c>
      <c r="AJ13">
        <f t="shared" ref="AJ13:AK13" si="40">AH13-AH11</f>
        <v>20.279999999999998</v>
      </c>
      <c r="AK13">
        <f t="shared" si="40"/>
        <v>326450</v>
      </c>
      <c r="AL13">
        <f t="shared" ref="AL13" si="41">AK13/AJ13</f>
        <v>16097.140039447733</v>
      </c>
    </row>
    <row r="14" spans="1:41" x14ac:dyDescent="0.2">
      <c r="B14" s="10"/>
      <c r="C14">
        <v>9</v>
      </c>
      <c r="D14" t="s">
        <v>2</v>
      </c>
      <c r="E14">
        <v>33.033999999999999</v>
      </c>
      <c r="F14">
        <v>798.76</v>
      </c>
      <c r="G14">
        <v>400</v>
      </c>
      <c r="H14">
        <v>1305</v>
      </c>
      <c r="I14">
        <v>26386.419000000002</v>
      </c>
      <c r="J14">
        <v>999249</v>
      </c>
      <c r="L14">
        <f t="shared" ref="L14" si="42">E14-E13</f>
        <v>9.1890000000000001</v>
      </c>
      <c r="M14">
        <f t="shared" ref="M14" si="43">J14-J12</f>
        <v>252911</v>
      </c>
      <c r="N14">
        <f t="shared" ref="N14" si="44">M14/L14</f>
        <v>27523.234301882687</v>
      </c>
      <c r="S14" s="2" t="s">
        <v>12</v>
      </c>
      <c r="U14" t="s">
        <v>1</v>
      </c>
      <c r="V14">
        <v>16.821000000000002</v>
      </c>
      <c r="W14">
        <v>438191</v>
      </c>
      <c r="AA14">
        <f t="shared" ref="AA14" si="45">W14/V14</f>
        <v>26050.234825515723</v>
      </c>
      <c r="AE14" s="10" t="s">
        <v>10</v>
      </c>
      <c r="AF14">
        <v>19</v>
      </c>
      <c r="AG14" t="s">
        <v>1</v>
      </c>
      <c r="AH14">
        <v>35.463999999999999</v>
      </c>
      <c r="AI14">
        <v>941277</v>
      </c>
      <c r="AM14">
        <f t="shared" ref="AM14" si="46">AI14/AH14</f>
        <v>26541.760658696145</v>
      </c>
    </row>
    <row r="15" spans="1:41" x14ac:dyDescent="0.2">
      <c r="B15" s="10" t="s">
        <v>10</v>
      </c>
      <c r="C15">
        <v>10</v>
      </c>
      <c r="D15" t="s">
        <v>1</v>
      </c>
      <c r="E15">
        <v>34.433999999999997</v>
      </c>
      <c r="F15">
        <v>572.39300000000003</v>
      </c>
      <c r="G15">
        <v>293</v>
      </c>
      <c r="H15">
        <v>1187</v>
      </c>
      <c r="I15">
        <v>19709.625</v>
      </c>
      <c r="J15">
        <v>746400</v>
      </c>
      <c r="K15" t="s">
        <v>13</v>
      </c>
      <c r="O15">
        <f t="shared" ref="O15" si="47">J15/E15</f>
        <v>21676.250217807981</v>
      </c>
      <c r="S15" s="2"/>
      <c r="U15" t="s">
        <v>3</v>
      </c>
      <c r="V15">
        <v>16.821000000000002</v>
      </c>
      <c r="W15">
        <v>658114</v>
      </c>
      <c r="AB15">
        <f t="shared" ref="AB15" si="48">AA14/Z16</f>
        <v>1.1699939601710356</v>
      </c>
      <c r="AC15">
        <f t="shared" ref="AC15" si="49">AB15/1.05802901</f>
        <v>1.1058240833784279</v>
      </c>
      <c r="AE15" s="10"/>
      <c r="AF15">
        <v>20</v>
      </c>
      <c r="AG15" t="s">
        <v>3</v>
      </c>
      <c r="AH15">
        <v>35.463999999999999</v>
      </c>
      <c r="AI15">
        <v>415653</v>
      </c>
      <c r="AN15">
        <f t="shared" ref="AN15" si="50">AM14/AL16</f>
        <v>0.88230307196200963</v>
      </c>
      <c r="AO15">
        <f t="shared" ref="AO15" si="51">AN15/1.05802901</f>
        <v>0.83391198504283881</v>
      </c>
    </row>
    <row r="16" spans="1:41" x14ac:dyDescent="0.2">
      <c r="B16" s="10"/>
      <c r="C16">
        <v>11</v>
      </c>
      <c r="D16" t="s">
        <v>3</v>
      </c>
      <c r="E16">
        <v>34.433999999999997</v>
      </c>
      <c r="F16">
        <v>303.791</v>
      </c>
      <c r="G16">
        <v>194</v>
      </c>
      <c r="H16">
        <v>542</v>
      </c>
      <c r="I16">
        <v>10460.651</v>
      </c>
      <c r="J16">
        <v>396143</v>
      </c>
      <c r="P16">
        <f t="shared" ref="P16" si="52">O15/N17</f>
        <v>1.080151861312229</v>
      </c>
      <c r="S16" s="2"/>
      <c r="U16" t="s">
        <v>2</v>
      </c>
      <c r="V16">
        <v>32.796999999999997</v>
      </c>
      <c r="W16">
        <v>793901</v>
      </c>
      <c r="X16">
        <f t="shared" ref="X16:Y16" si="53">V16-V14</f>
        <v>15.975999999999996</v>
      </c>
      <c r="Y16">
        <f t="shared" si="53"/>
        <v>355710</v>
      </c>
      <c r="Z16">
        <f t="shared" ref="Z16" si="54">Y16/X16</f>
        <v>22265.272909364052</v>
      </c>
      <c r="AE16" s="10"/>
      <c r="AF16">
        <v>21</v>
      </c>
      <c r="AG16" t="s">
        <v>2</v>
      </c>
      <c r="AH16">
        <v>50.567999999999998</v>
      </c>
      <c r="AI16">
        <v>1395641</v>
      </c>
      <c r="AJ16">
        <f t="shared" ref="AJ16:AK16" si="55">AH16-AH14</f>
        <v>15.103999999999999</v>
      </c>
      <c r="AK16">
        <f t="shared" si="55"/>
        <v>454364</v>
      </c>
      <c r="AL16">
        <f t="shared" ref="AL16" si="56">AK16/AJ16</f>
        <v>30082.362288135595</v>
      </c>
    </row>
    <row r="17" spans="2:41" x14ac:dyDescent="0.2">
      <c r="B17" s="10"/>
      <c r="C17">
        <v>12</v>
      </c>
      <c r="D17" t="s">
        <v>2</v>
      </c>
      <c r="E17">
        <v>62.451000000000001</v>
      </c>
      <c r="F17">
        <v>553.33600000000001</v>
      </c>
      <c r="G17">
        <v>198</v>
      </c>
      <c r="H17">
        <v>1332</v>
      </c>
      <c r="I17">
        <v>34556.249000000003</v>
      </c>
      <c r="J17">
        <v>1308639</v>
      </c>
      <c r="L17">
        <f t="shared" ref="L17" si="57">E17-E16</f>
        <v>28.017000000000003</v>
      </c>
      <c r="M17">
        <f t="shared" ref="M17" si="58">J17-J15</f>
        <v>562239</v>
      </c>
      <c r="N17">
        <f t="shared" ref="N17" si="59">M17/L17</f>
        <v>20067.780276260841</v>
      </c>
      <c r="S17" s="2" t="s">
        <v>12</v>
      </c>
      <c r="U17" t="s">
        <v>1</v>
      </c>
      <c r="V17">
        <v>24.847999999999999</v>
      </c>
      <c r="W17">
        <v>630441</v>
      </c>
      <c r="AA17">
        <f t="shared" ref="AA17" si="60">W17/V17</f>
        <v>25371.901159047007</v>
      </c>
      <c r="AE17" s="10" t="s">
        <v>10</v>
      </c>
      <c r="AF17">
        <v>27</v>
      </c>
      <c r="AG17" t="s">
        <v>1</v>
      </c>
      <c r="AH17">
        <v>32.216000000000001</v>
      </c>
      <c r="AI17">
        <v>827935</v>
      </c>
      <c r="AM17">
        <f t="shared" ref="AM17" si="61">AI17/AH17</f>
        <v>25699.497144276134</v>
      </c>
    </row>
    <row r="18" spans="2:41" x14ac:dyDescent="0.2">
      <c r="B18" s="10" t="s">
        <v>10</v>
      </c>
      <c r="C18">
        <v>13</v>
      </c>
      <c r="D18" t="s">
        <v>1</v>
      </c>
      <c r="E18">
        <v>25.271000000000001</v>
      </c>
      <c r="F18">
        <v>613.61500000000001</v>
      </c>
      <c r="G18">
        <v>247</v>
      </c>
      <c r="H18">
        <v>1160</v>
      </c>
      <c r="I18">
        <v>15506.541999999999</v>
      </c>
      <c r="J18">
        <v>587230</v>
      </c>
      <c r="O18">
        <f t="shared" ref="O18" si="62">J18/E18</f>
        <v>23237.30758577025</v>
      </c>
      <c r="S18" s="2"/>
      <c r="U18" t="s">
        <v>3</v>
      </c>
      <c r="V18">
        <v>24.847999999999999</v>
      </c>
      <c r="W18">
        <v>879317</v>
      </c>
      <c r="AB18">
        <f t="shared" ref="AB18" si="63">AA17/Z19</f>
        <v>0.99692650589548515</v>
      </c>
      <c r="AC18">
        <f t="shared" ref="AC18" si="64">AB18/1.05802901</f>
        <v>0.94224874410153003</v>
      </c>
      <c r="AE18" s="10"/>
      <c r="AF18">
        <v>28</v>
      </c>
      <c r="AG18" t="s">
        <v>3</v>
      </c>
      <c r="AH18">
        <v>32.216000000000001</v>
      </c>
      <c r="AI18">
        <v>350504</v>
      </c>
      <c r="AN18">
        <f t="shared" ref="AN18" si="65">AM17/AL19</f>
        <v>1.1024521084630146</v>
      </c>
      <c r="AO18">
        <f t="shared" ref="AO18" si="66">AN18/1.05802901</f>
        <v>1.0419866544708585</v>
      </c>
    </row>
    <row r="19" spans="2:41" x14ac:dyDescent="0.2">
      <c r="B19" s="10"/>
      <c r="C19">
        <v>14</v>
      </c>
      <c r="D19" t="s">
        <v>3</v>
      </c>
      <c r="E19">
        <v>25.271000000000001</v>
      </c>
      <c r="F19">
        <v>334.82</v>
      </c>
      <c r="G19">
        <v>214</v>
      </c>
      <c r="H19">
        <v>519</v>
      </c>
      <c r="I19">
        <v>8461.17</v>
      </c>
      <c r="J19">
        <v>320423</v>
      </c>
      <c r="P19">
        <f t="shared" ref="P19" si="67">O18/N20</f>
        <v>1.1775786700743114</v>
      </c>
      <c r="S19" s="2"/>
      <c r="U19" t="s">
        <v>2</v>
      </c>
      <c r="V19">
        <v>56.826000000000001</v>
      </c>
      <c r="W19">
        <v>1444285</v>
      </c>
      <c r="X19">
        <f t="shared" ref="X19:Y19" si="68">V19-V17</f>
        <v>31.978000000000002</v>
      </c>
      <c r="Y19">
        <f t="shared" si="68"/>
        <v>813844</v>
      </c>
      <c r="Z19">
        <f t="shared" ref="Z19" si="69">Y19/X19</f>
        <v>25450.121958846707</v>
      </c>
      <c r="AE19" s="10"/>
      <c r="AF19">
        <v>29</v>
      </c>
      <c r="AG19" t="s">
        <v>2</v>
      </c>
      <c r="AH19">
        <v>49.908000000000001</v>
      </c>
      <c r="AI19">
        <v>1240357</v>
      </c>
      <c r="AJ19">
        <f t="shared" ref="AJ19:AK19" si="70">AH19-AH17</f>
        <v>17.692</v>
      </c>
      <c r="AK19">
        <f t="shared" si="70"/>
        <v>412422</v>
      </c>
      <c r="AL19">
        <f t="shared" ref="AL19" si="71">AK19/AJ19</f>
        <v>23311.214108071443</v>
      </c>
    </row>
    <row r="20" spans="2:41" x14ac:dyDescent="0.2">
      <c r="B20" s="10"/>
      <c r="C20">
        <v>15</v>
      </c>
      <c r="D20" t="s">
        <v>2</v>
      </c>
      <c r="E20">
        <v>47.716000000000001</v>
      </c>
      <c r="F20">
        <v>570.08299999999997</v>
      </c>
      <c r="G20">
        <v>218</v>
      </c>
      <c r="H20">
        <v>1160</v>
      </c>
      <c r="I20">
        <v>27202.133999999998</v>
      </c>
      <c r="J20">
        <v>1030140</v>
      </c>
      <c r="L20">
        <f t="shared" ref="L20" si="72">E20-E19</f>
        <v>22.445</v>
      </c>
      <c r="M20">
        <f t="shared" ref="M20" si="73">J20-J18</f>
        <v>442910</v>
      </c>
      <c r="N20">
        <f t="shared" ref="N20" si="74">M20/L20</f>
        <v>19733.125417687679</v>
      </c>
      <c r="S20" s="2" t="s">
        <v>12</v>
      </c>
      <c r="U20" t="s">
        <v>1</v>
      </c>
      <c r="V20">
        <v>26.327000000000002</v>
      </c>
      <c r="W20">
        <v>705839</v>
      </c>
      <c r="AA20">
        <f t="shared" ref="AA20" si="75">W20/V20</f>
        <v>26810.460743723172</v>
      </c>
      <c r="AE20" s="10" t="s">
        <v>10</v>
      </c>
      <c r="AF20">
        <v>30</v>
      </c>
      <c r="AG20" t="s">
        <v>1</v>
      </c>
      <c r="AH20">
        <v>38.368000000000002</v>
      </c>
      <c r="AI20">
        <v>774147</v>
      </c>
      <c r="AM20">
        <f t="shared" ref="AM20" si="76">AI20/AH20</f>
        <v>20176.89220183486</v>
      </c>
    </row>
    <row r="21" spans="2:41" x14ac:dyDescent="0.2">
      <c r="B21" s="10" t="s">
        <v>10</v>
      </c>
      <c r="C21">
        <v>16</v>
      </c>
      <c r="D21" t="s">
        <v>1</v>
      </c>
      <c r="E21">
        <v>30.13</v>
      </c>
      <c r="F21">
        <v>492.57799999999997</v>
      </c>
      <c r="G21">
        <v>173</v>
      </c>
      <c r="H21">
        <v>1323</v>
      </c>
      <c r="I21">
        <v>14841.130999999999</v>
      </c>
      <c r="J21">
        <v>562031</v>
      </c>
      <c r="O21">
        <f t="shared" ref="O21" si="77">J21/E21</f>
        <v>18653.534683040161</v>
      </c>
      <c r="S21" s="2"/>
      <c r="U21" t="s">
        <v>3</v>
      </c>
      <c r="V21">
        <v>26.327000000000002</v>
      </c>
      <c r="W21">
        <v>1423542</v>
      </c>
      <c r="AB21">
        <f t="shared" ref="AB21" si="78">AA20/Z22</f>
        <v>1.221512697255819</v>
      </c>
      <c r="AC21">
        <f t="shared" ref="AC21" si="79">AB21/1.05802901</f>
        <v>1.1545172067217881</v>
      </c>
      <c r="AE21" s="10"/>
      <c r="AF21">
        <v>31</v>
      </c>
      <c r="AG21" t="s">
        <v>3</v>
      </c>
      <c r="AH21">
        <v>38.368000000000002</v>
      </c>
      <c r="AI21">
        <v>423386</v>
      </c>
      <c r="AN21">
        <f t="shared" ref="AN21" si="80">AM20/AL22</f>
        <v>0.84754078891615636</v>
      </c>
      <c r="AO21">
        <f t="shared" ref="AO21" si="81">AN21/1.05802901</f>
        <v>0.8010562857025596</v>
      </c>
    </row>
    <row r="22" spans="2:41" x14ac:dyDescent="0.2">
      <c r="B22" s="10"/>
      <c r="C22">
        <v>17</v>
      </c>
      <c r="D22" t="s">
        <v>3</v>
      </c>
      <c r="E22">
        <v>30.13</v>
      </c>
      <c r="F22">
        <v>297.18400000000003</v>
      </c>
      <c r="G22">
        <v>190</v>
      </c>
      <c r="H22">
        <v>467</v>
      </c>
      <c r="I22">
        <v>8954.0159999999996</v>
      </c>
      <c r="J22">
        <v>339087</v>
      </c>
      <c r="P22">
        <f t="shared" ref="P22" si="82">O21/N23</f>
        <v>1.1588104866658124</v>
      </c>
      <c r="S22" s="2"/>
      <c r="U22" t="s">
        <v>2</v>
      </c>
      <c r="V22">
        <v>46.686</v>
      </c>
      <c r="W22">
        <v>1152690</v>
      </c>
      <c r="X22">
        <f t="shared" ref="X22:Y22" si="83">V22-V20</f>
        <v>20.358999999999998</v>
      </c>
      <c r="Y22">
        <f t="shared" si="83"/>
        <v>446851</v>
      </c>
      <c r="Z22">
        <f t="shared" ref="Z22" si="84">Y22/X22</f>
        <v>21948.573112628324</v>
      </c>
      <c r="AE22" s="10"/>
      <c r="AF22">
        <v>32</v>
      </c>
      <c r="AG22" t="s">
        <v>2</v>
      </c>
      <c r="AH22">
        <v>51.280999999999999</v>
      </c>
      <c r="AI22">
        <v>1081559</v>
      </c>
      <c r="AJ22">
        <f t="shared" ref="AJ22:AK22" si="85">AH22-AH20</f>
        <v>12.912999999999997</v>
      </c>
      <c r="AK22">
        <f t="shared" si="85"/>
        <v>307412</v>
      </c>
      <c r="AL22">
        <f t="shared" ref="AL22" si="86">AK22/AJ22</f>
        <v>23806.396654534197</v>
      </c>
    </row>
    <row r="23" spans="2:41" x14ac:dyDescent="0.2">
      <c r="B23" s="10"/>
      <c r="C23">
        <v>18</v>
      </c>
      <c r="D23" t="s">
        <v>2</v>
      </c>
      <c r="E23">
        <v>50.41</v>
      </c>
      <c r="F23">
        <v>465.41699999999997</v>
      </c>
      <c r="G23">
        <v>173</v>
      </c>
      <c r="H23">
        <v>1323</v>
      </c>
      <c r="I23">
        <v>23461.451000000001</v>
      </c>
      <c r="J23">
        <v>888481</v>
      </c>
      <c r="L23">
        <f t="shared" ref="L23" si="87">E23-E22</f>
        <v>20.279999999999998</v>
      </c>
      <c r="M23">
        <f t="shared" ref="M23" si="88">J23-J21</f>
        <v>326450</v>
      </c>
      <c r="N23">
        <f t="shared" ref="N23" si="89">M23/L23</f>
        <v>16097.140039447733</v>
      </c>
      <c r="S23" s="2" t="s">
        <v>12</v>
      </c>
      <c r="U23" t="s">
        <v>1</v>
      </c>
      <c r="V23">
        <v>30.895</v>
      </c>
      <c r="W23">
        <v>749612</v>
      </c>
      <c r="AA23">
        <f t="shared" ref="AA23" si="90">W23/V23</f>
        <v>24263.214112315909</v>
      </c>
      <c r="AE23" s="10" t="s">
        <v>10</v>
      </c>
      <c r="AG23" t="s">
        <v>1</v>
      </c>
      <c r="AH23">
        <v>28.783000000000001</v>
      </c>
      <c r="AI23">
        <v>661713</v>
      </c>
      <c r="AM23">
        <f t="shared" ref="AM23" si="91">AI23/AH23</f>
        <v>22989.716151895216</v>
      </c>
    </row>
    <row r="24" spans="2:41" x14ac:dyDescent="0.2">
      <c r="B24" s="10" t="s">
        <v>10</v>
      </c>
      <c r="C24">
        <v>19</v>
      </c>
      <c r="D24" t="s">
        <v>1</v>
      </c>
      <c r="E24">
        <v>35.463999999999999</v>
      </c>
      <c r="F24">
        <v>700.87599999999998</v>
      </c>
      <c r="G24">
        <v>358</v>
      </c>
      <c r="H24">
        <v>1325</v>
      </c>
      <c r="I24">
        <v>24855.596000000001</v>
      </c>
      <c r="J24">
        <v>941277</v>
      </c>
      <c r="O24">
        <f t="shared" ref="O24" si="92">J24/E24</f>
        <v>26541.760658696145</v>
      </c>
      <c r="S24" s="2"/>
      <c r="U24" t="s">
        <v>3</v>
      </c>
      <c r="V24">
        <v>30.895</v>
      </c>
      <c r="W24">
        <v>517840</v>
      </c>
      <c r="AB24">
        <f t="shared" ref="AB24" si="93">AA23/Z25</f>
        <v>1.1121672183126061</v>
      </c>
      <c r="AC24">
        <f t="shared" ref="AC24" si="94">AB24/1.05802901</f>
        <v>1.0511689261834192</v>
      </c>
      <c r="AE24" s="10"/>
      <c r="AG24" t="s">
        <v>3</v>
      </c>
      <c r="AH24">
        <v>28.783000000000001</v>
      </c>
      <c r="AI24">
        <v>276422</v>
      </c>
      <c r="AN24">
        <f t="shared" ref="AN24" si="95">AM23/AL25</f>
        <v>0.92867962574166685</v>
      </c>
      <c r="AO24">
        <f t="shared" ref="AO24" si="96">AN24/1.05802901</f>
        <v>0.877744954972139</v>
      </c>
    </row>
    <row r="25" spans="2:41" x14ac:dyDescent="0.2">
      <c r="B25" s="10"/>
      <c r="C25">
        <v>20</v>
      </c>
      <c r="D25" t="s">
        <v>3</v>
      </c>
      <c r="E25">
        <v>35.463999999999999</v>
      </c>
      <c r="F25">
        <v>309.49599999999998</v>
      </c>
      <c r="G25">
        <v>202</v>
      </c>
      <c r="H25">
        <v>468</v>
      </c>
      <c r="I25">
        <v>10975.837</v>
      </c>
      <c r="J25">
        <v>415653</v>
      </c>
      <c r="P25">
        <f t="shared" ref="P25" si="97">O24/N26</f>
        <v>0.88230307196200963</v>
      </c>
      <c r="S25" s="2"/>
      <c r="U25" t="s">
        <v>2</v>
      </c>
      <c r="V25">
        <v>57.064</v>
      </c>
      <c r="W25">
        <v>1320519</v>
      </c>
      <c r="X25">
        <f t="shared" ref="X25:Y25" si="98">V25-V23</f>
        <v>26.169</v>
      </c>
      <c r="Y25">
        <f t="shared" si="98"/>
        <v>570907</v>
      </c>
      <c r="Z25">
        <f t="shared" ref="Z25" si="99">Y25/X25</f>
        <v>21816.156521074554</v>
      </c>
      <c r="AE25" s="10"/>
      <c r="AG25" t="s">
        <v>2</v>
      </c>
      <c r="AH25">
        <v>55.057000000000002</v>
      </c>
      <c r="AI25">
        <v>1312133</v>
      </c>
      <c r="AJ25">
        <f t="shared" ref="AJ25:AK25" si="100">AH25-AH23</f>
        <v>26.274000000000001</v>
      </c>
      <c r="AK25">
        <f t="shared" si="100"/>
        <v>650420</v>
      </c>
      <c r="AL25">
        <f t="shared" ref="AL25" si="101">AK25/AJ25</f>
        <v>24755.271370937047</v>
      </c>
    </row>
    <row r="26" spans="2:41" x14ac:dyDescent="0.2">
      <c r="B26" s="10"/>
      <c r="C26">
        <v>21</v>
      </c>
      <c r="D26" t="s">
        <v>2</v>
      </c>
      <c r="E26">
        <v>50.567999999999998</v>
      </c>
      <c r="F26">
        <v>728.79399999999998</v>
      </c>
      <c r="G26">
        <v>358</v>
      </c>
      <c r="H26">
        <v>1443</v>
      </c>
      <c r="I26">
        <v>36853.644999999997</v>
      </c>
      <c r="J26">
        <v>1395641</v>
      </c>
      <c r="L26">
        <f t="shared" ref="L26" si="102">E26-E25</f>
        <v>15.103999999999999</v>
      </c>
      <c r="M26">
        <f t="shared" ref="M26" si="103">J26-J24</f>
        <v>454364</v>
      </c>
      <c r="N26">
        <f t="shared" ref="N26" si="104">M26/L26</f>
        <v>30082.362288135595</v>
      </c>
      <c r="S26" s="2" t="s">
        <v>12</v>
      </c>
      <c r="U26" t="s">
        <v>1</v>
      </c>
      <c r="V26">
        <v>29.786000000000001</v>
      </c>
      <c r="W26">
        <v>677977</v>
      </c>
      <c r="AA26">
        <f t="shared" ref="AA26" si="105">W26/V26</f>
        <v>22761.599409118378</v>
      </c>
      <c r="AE26" s="10" t="s">
        <v>10</v>
      </c>
      <c r="AG26" t="s">
        <v>1</v>
      </c>
      <c r="AH26">
        <v>32.823</v>
      </c>
      <c r="AI26">
        <v>744421</v>
      </c>
      <c r="AM26">
        <f t="shared" ref="AM26" si="106">AI26/AH26</f>
        <v>22679.858635712761</v>
      </c>
    </row>
    <row r="27" spans="2:41" x14ac:dyDescent="0.2">
      <c r="B27" s="2" t="s">
        <v>12</v>
      </c>
      <c r="C27">
        <v>24</v>
      </c>
      <c r="D27" t="s">
        <v>1</v>
      </c>
      <c r="E27">
        <v>32.030999999999999</v>
      </c>
      <c r="F27">
        <v>671.06100000000004</v>
      </c>
      <c r="G27">
        <v>347</v>
      </c>
      <c r="H27">
        <v>1317</v>
      </c>
      <c r="I27">
        <v>21494.608</v>
      </c>
      <c r="J27">
        <v>813997</v>
      </c>
      <c r="O27">
        <f t="shared" ref="O27" si="107">J27/E27</f>
        <v>25412.787612000877</v>
      </c>
      <c r="S27" s="2"/>
      <c r="U27" t="s">
        <v>3</v>
      </c>
      <c r="V27">
        <v>29.786000000000001</v>
      </c>
      <c r="W27">
        <v>604939</v>
      </c>
      <c r="AB27">
        <f t="shared" ref="AB27" si="108">AA26/Z28</f>
        <v>1.1651793197565039</v>
      </c>
      <c r="AC27">
        <f t="shared" ref="AC27" si="109">AB27/1.05802901</f>
        <v>1.1012735083289482</v>
      </c>
      <c r="AE27" s="10"/>
      <c r="AG27" t="s">
        <v>3</v>
      </c>
      <c r="AH27">
        <v>32.823</v>
      </c>
      <c r="AI27">
        <v>328522</v>
      </c>
      <c r="AN27">
        <f t="shared" ref="AN27" si="110">AM26/AL28</f>
        <v>1.1144658872224593</v>
      </c>
      <c r="AO27">
        <f t="shared" ref="AO27" si="111">AN27/1.05802901</f>
        <v>1.0533415215358408</v>
      </c>
    </row>
    <row r="28" spans="2:41" x14ac:dyDescent="0.2">
      <c r="B28" s="2"/>
      <c r="C28">
        <v>25</v>
      </c>
      <c r="D28" t="s">
        <v>3</v>
      </c>
      <c r="E28">
        <v>32.030999999999999</v>
      </c>
      <c r="F28">
        <v>954.149</v>
      </c>
      <c r="G28">
        <v>349</v>
      </c>
      <c r="H28">
        <v>2132</v>
      </c>
      <c r="I28">
        <v>30562.145</v>
      </c>
      <c r="J28">
        <v>1157383</v>
      </c>
      <c r="P28" s="4">
        <f t="shared" ref="P28" si="112">O27/N29</f>
        <v>1.0447343176830091</v>
      </c>
      <c r="S28" s="2"/>
      <c r="U28" t="s">
        <v>2</v>
      </c>
      <c r="V28">
        <v>67.494</v>
      </c>
      <c r="W28">
        <v>1414597</v>
      </c>
      <c r="X28">
        <f t="shared" ref="X28:Y28" si="113">V28-V26</f>
        <v>37.707999999999998</v>
      </c>
      <c r="Y28">
        <f t="shared" si="113"/>
        <v>736620</v>
      </c>
      <c r="Z28">
        <f t="shared" ref="Z28" si="114">Y28/X28</f>
        <v>19534.846716877055</v>
      </c>
      <c r="AE28" s="10"/>
      <c r="AG28" t="s">
        <v>2</v>
      </c>
      <c r="AH28">
        <v>57.195999999999998</v>
      </c>
      <c r="AI28">
        <v>1240422</v>
      </c>
      <c r="AJ28">
        <f t="shared" ref="AJ28:AK28" si="115">AH28-AH26</f>
        <v>24.372999999999998</v>
      </c>
      <c r="AK28">
        <f t="shared" si="115"/>
        <v>496001</v>
      </c>
      <c r="AL28">
        <f t="shared" ref="AL28" si="116">AK28/AJ28</f>
        <v>20350.428753128464</v>
      </c>
    </row>
    <row r="29" spans="2:41" x14ac:dyDescent="0.2">
      <c r="B29" s="2"/>
      <c r="C29">
        <v>26</v>
      </c>
      <c r="D29" t="s">
        <v>2</v>
      </c>
      <c r="E29">
        <v>63.401000000000003</v>
      </c>
      <c r="F29">
        <v>656.83500000000004</v>
      </c>
      <c r="G29">
        <v>311</v>
      </c>
      <c r="H29">
        <v>1317</v>
      </c>
      <c r="I29">
        <v>41644.267</v>
      </c>
      <c r="J29">
        <v>1577061</v>
      </c>
      <c r="L29">
        <f t="shared" ref="L29" si="117">E29-E28</f>
        <v>31.370000000000005</v>
      </c>
      <c r="M29">
        <f t="shared" ref="M29" si="118">J29-J27</f>
        <v>763064</v>
      </c>
      <c r="N29">
        <f t="shared" ref="N29" si="119">M29/L29</f>
        <v>24324.641377111886</v>
      </c>
      <c r="S29" s="2" t="s">
        <v>12</v>
      </c>
      <c r="U29" t="s">
        <v>1</v>
      </c>
      <c r="V29">
        <v>37.918999999999997</v>
      </c>
      <c r="W29">
        <v>1073289</v>
      </c>
      <c r="AA29">
        <f t="shared" ref="AA29" si="120">W29/V29</f>
        <v>28304.781244231126</v>
      </c>
      <c r="AE29" s="10" t="s">
        <v>10</v>
      </c>
      <c r="AG29" t="s">
        <v>1</v>
      </c>
      <c r="AH29">
        <v>36.045000000000002</v>
      </c>
      <c r="AI29">
        <v>834496</v>
      </c>
      <c r="AM29">
        <f t="shared" ref="AM29" si="121">AI29/AH29</f>
        <v>23151.50506311555</v>
      </c>
    </row>
    <row r="30" spans="2:41" x14ac:dyDescent="0.2">
      <c r="B30" s="10" t="s">
        <v>10</v>
      </c>
      <c r="C30">
        <v>27</v>
      </c>
      <c r="D30" t="s">
        <v>1</v>
      </c>
      <c r="E30">
        <v>32.216000000000001</v>
      </c>
      <c r="F30">
        <v>678.63499999999999</v>
      </c>
      <c r="G30">
        <v>340</v>
      </c>
      <c r="H30">
        <v>1219</v>
      </c>
      <c r="I30">
        <v>21862.659</v>
      </c>
      <c r="J30">
        <v>827935</v>
      </c>
      <c r="O30">
        <f t="shared" ref="O30" si="122">J30/E30</f>
        <v>25699.497144276134</v>
      </c>
      <c r="S30" s="2"/>
      <c r="U30" t="s">
        <v>3</v>
      </c>
      <c r="V30">
        <v>37.918999999999997</v>
      </c>
      <c r="W30">
        <v>807858</v>
      </c>
      <c r="AB30">
        <f t="shared" ref="AB30" si="123">AA29/Z31</f>
        <v>0.94453020356326056</v>
      </c>
      <c r="AC30">
        <f t="shared" ref="AC30" si="124">AB30/1.05802901</f>
        <v>0.89272618674535253</v>
      </c>
      <c r="AE30" s="10"/>
      <c r="AG30" t="s">
        <v>3</v>
      </c>
      <c r="AH30">
        <v>36.045000000000002</v>
      </c>
      <c r="AI30">
        <v>340828</v>
      </c>
      <c r="AN30">
        <f t="shared" ref="AN30" si="125">AM29/AL31</f>
        <v>0.96819497787208231</v>
      </c>
      <c r="AO30">
        <f t="shared" ref="AO30" si="126">AN30/1.05802901</f>
        <v>0.91509303499351335</v>
      </c>
    </row>
    <row r="31" spans="2:41" x14ac:dyDescent="0.2">
      <c r="B31" s="10"/>
      <c r="C31">
        <v>28</v>
      </c>
      <c r="D31" t="s">
        <v>3</v>
      </c>
      <c r="E31">
        <v>32.216000000000001</v>
      </c>
      <c r="F31">
        <v>287.298</v>
      </c>
      <c r="G31">
        <v>174</v>
      </c>
      <c r="H31">
        <v>448</v>
      </c>
      <c r="I31">
        <v>9255.4959999999992</v>
      </c>
      <c r="J31">
        <v>350504</v>
      </c>
      <c r="P31">
        <f t="shared" ref="P31" si="127">O30/N32</f>
        <v>1.1024521084630146</v>
      </c>
      <c r="S31" s="2"/>
      <c r="U31" t="s">
        <v>2</v>
      </c>
      <c r="V31">
        <v>62.53</v>
      </c>
      <c r="W31">
        <v>1810808</v>
      </c>
      <c r="X31">
        <f t="shared" ref="X31:Y31" si="128">V31-V29</f>
        <v>24.611000000000004</v>
      </c>
      <c r="Y31">
        <f t="shared" si="128"/>
        <v>737519</v>
      </c>
      <c r="Z31">
        <f t="shared" ref="Z31" si="129">Y31/X31</f>
        <v>29967.047255292342</v>
      </c>
      <c r="AE31" s="10"/>
      <c r="AG31" t="s">
        <v>2</v>
      </c>
      <c r="AH31">
        <v>60.655000000000001</v>
      </c>
      <c r="AI31">
        <v>1422971</v>
      </c>
      <c r="AJ31">
        <f t="shared" ref="AJ31:AK31" si="130">AH31-AH29</f>
        <v>24.61</v>
      </c>
      <c r="AK31">
        <f t="shared" si="130"/>
        <v>588475</v>
      </c>
      <c r="AL31">
        <f t="shared" ref="AL31" si="131">AK31/AJ31</f>
        <v>23912.027631044293</v>
      </c>
    </row>
    <row r="32" spans="2:41" x14ac:dyDescent="0.2">
      <c r="B32" s="10"/>
      <c r="C32">
        <v>29</v>
      </c>
      <c r="D32" t="s">
        <v>2</v>
      </c>
      <c r="E32">
        <v>49.908000000000001</v>
      </c>
      <c r="F32">
        <v>656.274</v>
      </c>
      <c r="G32">
        <v>296</v>
      </c>
      <c r="H32">
        <v>1219</v>
      </c>
      <c r="I32">
        <v>32753.177</v>
      </c>
      <c r="J32">
        <v>1240357</v>
      </c>
      <c r="L32">
        <f t="shared" ref="L32" si="132">E32-E31</f>
        <v>17.692</v>
      </c>
      <c r="M32">
        <f t="shared" ref="M32" si="133">J32-J30</f>
        <v>412422</v>
      </c>
      <c r="N32">
        <f t="shared" ref="N32" si="134">M32/L32</f>
        <v>23311.214108071443</v>
      </c>
      <c r="S32" s="2" t="s">
        <v>12</v>
      </c>
      <c r="U32" t="s">
        <v>1</v>
      </c>
      <c r="V32">
        <v>19.831</v>
      </c>
      <c r="W32">
        <v>417325</v>
      </c>
      <c r="AA32">
        <f t="shared" ref="AA32" si="135">W32/V32</f>
        <v>21044.072411880388</v>
      </c>
      <c r="AE32" s="10" t="s">
        <v>10</v>
      </c>
      <c r="AG32" t="s">
        <v>1</v>
      </c>
      <c r="AH32">
        <v>37.893000000000001</v>
      </c>
      <c r="AI32">
        <v>1065529</v>
      </c>
      <c r="AM32">
        <f t="shared" ref="AM32" si="136">AI32/AH32</f>
        <v>28119.415195418678</v>
      </c>
    </row>
    <row r="33" spans="2:41" x14ac:dyDescent="0.2">
      <c r="B33" s="10" t="s">
        <v>10</v>
      </c>
      <c r="C33">
        <v>30</v>
      </c>
      <c r="D33" t="s">
        <v>1</v>
      </c>
      <c r="E33">
        <v>38.368000000000002</v>
      </c>
      <c r="F33">
        <v>532.79200000000003</v>
      </c>
      <c r="G33">
        <v>189</v>
      </c>
      <c r="H33">
        <v>1084</v>
      </c>
      <c r="I33">
        <v>20442.319</v>
      </c>
      <c r="J33">
        <v>774147</v>
      </c>
      <c r="O33">
        <f t="shared" ref="O33" si="137">J33/E33</f>
        <v>20176.89220183486</v>
      </c>
      <c r="S33" s="2"/>
      <c r="U33" t="s">
        <v>3</v>
      </c>
      <c r="V33">
        <v>19.831</v>
      </c>
      <c r="W33">
        <v>221406</v>
      </c>
      <c r="AB33">
        <f t="shared" ref="AB33" si="138">AA32/Z34</f>
        <v>1.1570883624683517</v>
      </c>
      <c r="AC33">
        <f t="shared" ref="AC33" si="139">AB33/1.05802901</f>
        <v>1.0936263103677579</v>
      </c>
      <c r="AE33" s="10"/>
      <c r="AG33" t="s">
        <v>3</v>
      </c>
      <c r="AH33">
        <v>37.893000000000001</v>
      </c>
      <c r="AI33">
        <v>361441</v>
      </c>
      <c r="AN33">
        <f t="shared" ref="AN33" si="140">AM32/AL34</f>
        <v>1.0368880054500302</v>
      </c>
      <c r="AO33">
        <f t="shared" ref="AO33" si="141">AN33/1.05802901</f>
        <v>0.98001850199743601</v>
      </c>
    </row>
    <row r="34" spans="2:41" x14ac:dyDescent="0.2">
      <c r="B34" s="10"/>
      <c r="C34">
        <v>31</v>
      </c>
      <c r="D34" t="s">
        <v>3</v>
      </c>
      <c r="E34">
        <v>38.368000000000002</v>
      </c>
      <c r="F34">
        <v>291.387</v>
      </c>
      <c r="G34">
        <v>163</v>
      </c>
      <c r="H34">
        <v>637</v>
      </c>
      <c r="I34">
        <v>11180.037</v>
      </c>
      <c r="J34">
        <v>423386</v>
      </c>
      <c r="P34">
        <f t="shared" ref="P34" si="142">O33/N35</f>
        <v>0.84754078891615636</v>
      </c>
      <c r="S34" s="2"/>
      <c r="U34" t="s">
        <v>2</v>
      </c>
      <c r="V34">
        <v>45.101999999999997</v>
      </c>
      <c r="W34">
        <v>876931</v>
      </c>
      <c r="X34">
        <f t="shared" ref="X34:Y34" si="143">V34-V32</f>
        <v>25.270999999999997</v>
      </c>
      <c r="Y34">
        <f t="shared" si="143"/>
        <v>459606</v>
      </c>
      <c r="Z34">
        <f t="shared" ref="Z34" si="144">Y34/X34</f>
        <v>18187.091923548734</v>
      </c>
      <c r="AE34" s="10"/>
      <c r="AG34" t="s">
        <v>2</v>
      </c>
      <c r="AH34">
        <v>63.639000000000003</v>
      </c>
      <c r="AI34">
        <v>1763736</v>
      </c>
      <c r="AJ34">
        <f t="shared" ref="AJ34:AK34" si="145">AH34-AH32</f>
        <v>25.746000000000002</v>
      </c>
      <c r="AK34">
        <f t="shared" si="145"/>
        <v>698207</v>
      </c>
      <c r="AL34">
        <f t="shared" ref="AL34" si="146">AK34/AJ34</f>
        <v>27119.047619047618</v>
      </c>
    </row>
    <row r="35" spans="2:41" x14ac:dyDescent="0.2">
      <c r="B35" s="10"/>
      <c r="C35">
        <v>32</v>
      </c>
      <c r="D35" t="s">
        <v>2</v>
      </c>
      <c r="E35">
        <v>51.280999999999999</v>
      </c>
      <c r="F35">
        <v>556.92999999999995</v>
      </c>
      <c r="G35">
        <v>177</v>
      </c>
      <c r="H35">
        <v>1084</v>
      </c>
      <c r="I35">
        <v>28559.917000000001</v>
      </c>
      <c r="J35">
        <v>1081559</v>
      </c>
      <c r="L35">
        <f t="shared" ref="L35" si="147">E35-E34</f>
        <v>12.912999999999997</v>
      </c>
      <c r="M35">
        <f t="shared" ref="M35" si="148">J35-J33</f>
        <v>307412</v>
      </c>
      <c r="N35">
        <f t="shared" ref="N35" si="149">M35/L35</f>
        <v>23806.396654534197</v>
      </c>
      <c r="S35" s="2" t="s">
        <v>12</v>
      </c>
      <c r="U35" t="s">
        <v>1</v>
      </c>
      <c r="V35">
        <v>31.82</v>
      </c>
      <c r="W35">
        <v>632867</v>
      </c>
      <c r="AA35">
        <f t="shared" ref="AA35" si="150">W35/V35</f>
        <v>19888.969201759901</v>
      </c>
      <c r="AE35" s="10" t="s">
        <v>10</v>
      </c>
      <c r="AG35" t="s">
        <v>1</v>
      </c>
      <c r="AH35">
        <v>36.942</v>
      </c>
      <c r="AI35">
        <v>811167</v>
      </c>
      <c r="AM35">
        <f t="shared" ref="AM35" si="151">AI35/AH35</f>
        <v>21957.852850414161</v>
      </c>
    </row>
    <row r="36" spans="2:41" x14ac:dyDescent="0.2">
      <c r="B36" s="10" t="s">
        <v>10</v>
      </c>
      <c r="D36" t="s">
        <v>1</v>
      </c>
      <c r="E36">
        <v>28.783000000000001</v>
      </c>
      <c r="F36">
        <v>607.07600000000002</v>
      </c>
      <c r="G36">
        <v>306</v>
      </c>
      <c r="H36">
        <v>1015</v>
      </c>
      <c r="I36">
        <v>17473.359</v>
      </c>
      <c r="J36">
        <v>661713</v>
      </c>
      <c r="O36">
        <f t="shared" ref="O36" si="152">J36/E36</f>
        <v>22989.716151895216</v>
      </c>
      <c r="S36" s="2"/>
      <c r="U36" t="s">
        <v>3</v>
      </c>
      <c r="V36">
        <v>31.82</v>
      </c>
      <c r="W36">
        <v>767992</v>
      </c>
      <c r="AB36">
        <f t="shared" ref="AB36" si="153">AA35/Z37</f>
        <v>0.83984912037728976</v>
      </c>
      <c r="AC36">
        <f t="shared" ref="AC36" si="154">AB36/1.05802901</f>
        <v>0.79378647696747906</v>
      </c>
      <c r="AE36" s="10"/>
      <c r="AG36" t="s">
        <v>3</v>
      </c>
      <c r="AH36">
        <v>36.942</v>
      </c>
      <c r="AI36">
        <v>524694</v>
      </c>
      <c r="AN36">
        <f t="shared" ref="AN36" si="155">AM35/AL37</f>
        <v>0.77826966060704517</v>
      </c>
      <c r="AO36">
        <f t="shared" ref="AO36" si="156">AN36/1.05802901</f>
        <v>0.73558442467191432</v>
      </c>
    </row>
    <row r="37" spans="2:41" x14ac:dyDescent="0.2">
      <c r="B37" s="10"/>
      <c r="D37" t="s">
        <v>3</v>
      </c>
      <c r="E37">
        <v>28.783000000000001</v>
      </c>
      <c r="F37">
        <v>253.59800000000001</v>
      </c>
      <c r="G37">
        <v>151</v>
      </c>
      <c r="H37">
        <v>434</v>
      </c>
      <c r="I37">
        <v>7299.268</v>
      </c>
      <c r="J37">
        <v>276422</v>
      </c>
      <c r="P37">
        <f t="shared" ref="P37" si="157">O36/N38</f>
        <v>0.92867962574166685</v>
      </c>
      <c r="S37" s="2"/>
      <c r="U37" t="s">
        <v>2</v>
      </c>
      <c r="V37">
        <v>41.933</v>
      </c>
      <c r="W37">
        <v>872359</v>
      </c>
      <c r="X37">
        <f t="shared" ref="X37:Y37" si="158">V37-V35</f>
        <v>10.113</v>
      </c>
      <c r="Y37">
        <f t="shared" si="158"/>
        <v>239492</v>
      </c>
      <c r="Z37">
        <f t="shared" ref="Z37" si="159">Y37/X37</f>
        <v>23681.597943241373</v>
      </c>
      <c r="AE37" s="10"/>
      <c r="AG37" t="s">
        <v>2</v>
      </c>
      <c r="AH37">
        <v>46.765000000000001</v>
      </c>
      <c r="AI37">
        <v>1088310</v>
      </c>
      <c r="AJ37">
        <f t="shared" ref="AJ37:AK37" si="160">AH37-AH35</f>
        <v>9.8230000000000004</v>
      </c>
      <c r="AK37">
        <f t="shared" si="160"/>
        <v>277143</v>
      </c>
      <c r="AL37">
        <f t="shared" ref="AL37" si="161">AK37/AJ37</f>
        <v>28213.682174488444</v>
      </c>
    </row>
    <row r="38" spans="2:41" x14ac:dyDescent="0.2">
      <c r="B38" s="10"/>
      <c r="D38" t="s">
        <v>2</v>
      </c>
      <c r="E38">
        <v>55.057000000000002</v>
      </c>
      <c r="F38">
        <v>629.32000000000005</v>
      </c>
      <c r="G38">
        <v>289</v>
      </c>
      <c r="H38">
        <v>1380</v>
      </c>
      <c r="I38">
        <v>34648.512000000002</v>
      </c>
      <c r="J38">
        <v>1312133</v>
      </c>
      <c r="L38">
        <f t="shared" ref="L38" si="162">E38-E37</f>
        <v>26.274000000000001</v>
      </c>
      <c r="M38">
        <f t="shared" ref="M38" si="163">J38-J36</f>
        <v>650420</v>
      </c>
      <c r="N38">
        <f t="shared" ref="N38" si="164">M38/L38</f>
        <v>24755.271370937047</v>
      </c>
      <c r="S38" s="2" t="s">
        <v>12</v>
      </c>
      <c r="U38" t="s">
        <v>1</v>
      </c>
      <c r="V38">
        <v>30.71</v>
      </c>
      <c r="W38">
        <v>845894</v>
      </c>
      <c r="AA38">
        <f t="shared" ref="AA38" si="165">W38/V38</f>
        <v>27544.578313253012</v>
      </c>
      <c r="AE38" s="10" t="s">
        <v>10</v>
      </c>
      <c r="AG38" t="s">
        <v>1</v>
      </c>
      <c r="AH38">
        <v>26.116</v>
      </c>
      <c r="AI38">
        <v>408226</v>
      </c>
      <c r="AM38">
        <f t="shared" ref="AM38" si="166">AI38/AH38</f>
        <v>15631.260529943331</v>
      </c>
    </row>
    <row r="39" spans="2:41" x14ac:dyDescent="0.2">
      <c r="B39" s="10" t="s">
        <v>10</v>
      </c>
      <c r="D39" t="s">
        <v>1</v>
      </c>
      <c r="E39">
        <v>32.823</v>
      </c>
      <c r="F39">
        <v>598.89099999999996</v>
      </c>
      <c r="G39">
        <v>292</v>
      </c>
      <c r="H39">
        <v>1402</v>
      </c>
      <c r="I39">
        <v>19657.366999999998</v>
      </c>
      <c r="J39">
        <v>744421</v>
      </c>
      <c r="O39">
        <f t="shared" ref="O39" si="167">J39/E39</f>
        <v>22679.858635712761</v>
      </c>
      <c r="S39" s="2"/>
      <c r="U39" t="s">
        <v>3</v>
      </c>
      <c r="V39">
        <v>30.71</v>
      </c>
      <c r="W39">
        <v>1222928</v>
      </c>
      <c r="AB39">
        <f t="shared" ref="AB39" si="168">AA38/Z40</f>
        <v>1.1909293039260764</v>
      </c>
      <c r="AC39">
        <f t="shared" ref="AC39" si="169">AB39/1.05802901</f>
        <v>1.1256112003262333</v>
      </c>
      <c r="AE39" s="10"/>
      <c r="AG39" t="s">
        <v>3</v>
      </c>
      <c r="AH39">
        <v>26.116</v>
      </c>
      <c r="AI39">
        <v>217368</v>
      </c>
      <c r="AN39">
        <f t="shared" ref="AN39" si="170">AM38/AL40</f>
        <v>0.6910182728605202</v>
      </c>
      <c r="AO39">
        <f t="shared" ref="AO39" si="171">AN39/1.05802901</f>
        <v>0.65311845547649039</v>
      </c>
    </row>
    <row r="40" spans="2:41" x14ac:dyDescent="0.2">
      <c r="B40" s="10"/>
      <c r="D40" t="s">
        <v>3</v>
      </c>
      <c r="E40">
        <v>32.823</v>
      </c>
      <c r="F40">
        <v>264.298</v>
      </c>
      <c r="G40">
        <v>164</v>
      </c>
      <c r="H40">
        <v>516</v>
      </c>
      <c r="I40">
        <v>8675.0339999999997</v>
      </c>
      <c r="J40">
        <v>328522</v>
      </c>
      <c r="P40">
        <f t="shared" ref="P40" si="172">O39/N41</f>
        <v>1.1144658872224593</v>
      </c>
      <c r="S40" s="2"/>
      <c r="U40" t="s">
        <v>2</v>
      </c>
      <c r="V40">
        <v>43.543999999999997</v>
      </c>
      <c r="W40">
        <v>1142727</v>
      </c>
      <c r="X40">
        <f t="shared" ref="X40:Y40" si="173">V40-V38</f>
        <v>12.833999999999996</v>
      </c>
      <c r="Y40">
        <f t="shared" si="173"/>
        <v>296833</v>
      </c>
      <c r="Z40">
        <f t="shared" ref="Z40" si="174">Y40/X40</f>
        <v>23128.642667913362</v>
      </c>
      <c r="AE40" s="10"/>
      <c r="AG40" t="s">
        <v>2</v>
      </c>
      <c r="AH40">
        <v>38.183</v>
      </c>
      <c r="AI40">
        <v>681189</v>
      </c>
      <c r="AJ40">
        <f t="shared" ref="AJ40:AK40" si="175">AH40-AH38</f>
        <v>12.067</v>
      </c>
      <c r="AK40">
        <f t="shared" si="175"/>
        <v>272963</v>
      </c>
      <c r="AL40">
        <f t="shared" ref="AL40" si="176">AK40/AJ40</f>
        <v>22620.618214966438</v>
      </c>
    </row>
    <row r="41" spans="2:41" x14ac:dyDescent="0.2">
      <c r="B41" s="10"/>
      <c r="D41" t="s">
        <v>2</v>
      </c>
      <c r="E41">
        <v>57.195999999999998</v>
      </c>
      <c r="F41">
        <v>572.67899999999997</v>
      </c>
      <c r="G41">
        <v>245</v>
      </c>
      <c r="H41">
        <v>1402</v>
      </c>
      <c r="I41">
        <v>32754.893</v>
      </c>
      <c r="J41">
        <v>1240422</v>
      </c>
      <c r="L41">
        <f t="shared" ref="L41" si="177">E41-E40</f>
        <v>24.372999999999998</v>
      </c>
      <c r="M41">
        <f t="shared" ref="M41" si="178">J41-J39</f>
        <v>496001</v>
      </c>
      <c r="N41">
        <f t="shared" ref="N41" si="179">M41/L41</f>
        <v>20350.428753128464</v>
      </c>
      <c r="S41" s="2" t="s">
        <v>12</v>
      </c>
      <c r="U41" t="s">
        <v>1</v>
      </c>
      <c r="V41">
        <v>33.14</v>
      </c>
      <c r="W41">
        <v>670646</v>
      </c>
      <c r="AA41">
        <f t="shared" ref="AA41" si="180">W41/V41</f>
        <v>20236.753168376585</v>
      </c>
      <c r="AE41" s="10" t="s">
        <v>10</v>
      </c>
      <c r="AG41" t="s">
        <v>1</v>
      </c>
      <c r="AH41">
        <v>42.329000000000001</v>
      </c>
      <c r="AI41">
        <v>960055</v>
      </c>
      <c r="AM41">
        <f t="shared" ref="AM41" si="181">AI41/AH41</f>
        <v>22680.786222211722</v>
      </c>
    </row>
    <row r="42" spans="2:41" x14ac:dyDescent="0.2">
      <c r="B42" s="10" t="s">
        <v>10</v>
      </c>
      <c r="D42" t="s">
        <v>1</v>
      </c>
      <c r="E42">
        <v>36.045000000000002</v>
      </c>
      <c r="F42">
        <v>611.35199999999998</v>
      </c>
      <c r="G42">
        <v>308</v>
      </c>
      <c r="H42">
        <v>1296</v>
      </c>
      <c r="I42">
        <v>22035.91</v>
      </c>
      <c r="J42">
        <v>834496</v>
      </c>
      <c r="O42">
        <f t="shared" ref="O42" si="182">J42/E42</f>
        <v>23151.50506311555</v>
      </c>
      <c r="S42" s="2"/>
      <c r="U42" t="s">
        <v>3</v>
      </c>
      <c r="V42">
        <v>33.14</v>
      </c>
      <c r="W42">
        <v>737233</v>
      </c>
      <c r="AB42">
        <f t="shared" ref="AB42" si="183">AA41/Z43</f>
        <v>0.72353013672533917</v>
      </c>
      <c r="AC42">
        <f t="shared" ref="AC42" si="184">AB42/1.05802901</f>
        <v>0.68384716287253711</v>
      </c>
      <c r="AE42" s="10"/>
      <c r="AG42" t="s">
        <v>3</v>
      </c>
      <c r="AH42">
        <v>42.329000000000001</v>
      </c>
      <c r="AI42">
        <v>345397</v>
      </c>
      <c r="AN42">
        <f t="shared" ref="AN42" si="185">AM41/AL43</f>
        <v>0.89769871181522476</v>
      </c>
      <c r="AO42">
        <f t="shared" ref="AO42" si="186">AN42/1.05802901</f>
        <v>0.84846323052637729</v>
      </c>
    </row>
    <row r="43" spans="2:41" x14ac:dyDescent="0.2">
      <c r="B43" s="10"/>
      <c r="D43" t="s">
        <v>3</v>
      </c>
      <c r="E43">
        <v>36.045000000000002</v>
      </c>
      <c r="F43">
        <v>249.691</v>
      </c>
      <c r="G43">
        <v>153</v>
      </c>
      <c r="H43">
        <v>531</v>
      </c>
      <c r="I43">
        <v>8999.9889999999996</v>
      </c>
      <c r="J43">
        <v>340828</v>
      </c>
      <c r="P43" s="7">
        <f t="shared" ref="P43" si="187">O42/N44</f>
        <v>0.96819497787208231</v>
      </c>
      <c r="S43" s="2"/>
      <c r="U43" t="s">
        <v>2</v>
      </c>
      <c r="V43">
        <v>56.853000000000002</v>
      </c>
      <c r="W43">
        <v>1333886</v>
      </c>
      <c r="X43">
        <f t="shared" ref="X43:Y43" si="188">V43-V41</f>
        <v>23.713000000000001</v>
      </c>
      <c r="Y43">
        <f t="shared" si="188"/>
        <v>663240</v>
      </c>
      <c r="Z43">
        <f t="shared" ref="Z43" si="189">Y43/X43</f>
        <v>27969.46822418083</v>
      </c>
      <c r="AE43" s="10"/>
      <c r="AG43" t="s">
        <v>2</v>
      </c>
      <c r="AH43">
        <v>65.25</v>
      </c>
      <c r="AI43">
        <v>1539165</v>
      </c>
      <c r="AJ43">
        <f t="shared" ref="AJ43:AK43" si="190">AH43-AH41</f>
        <v>22.920999999999999</v>
      </c>
      <c r="AK43">
        <f t="shared" si="190"/>
        <v>579110</v>
      </c>
      <c r="AL43">
        <f t="shared" ref="AL43" si="191">AK43/AJ43</f>
        <v>25265.477073426118</v>
      </c>
    </row>
    <row r="44" spans="2:41" x14ac:dyDescent="0.2">
      <c r="B44" s="10"/>
      <c r="D44" t="s">
        <v>2</v>
      </c>
      <c r="E44">
        <v>60.655000000000001</v>
      </c>
      <c r="F44">
        <v>619.49099999999999</v>
      </c>
      <c r="G44">
        <v>266</v>
      </c>
      <c r="H44">
        <v>1296</v>
      </c>
      <c r="I44">
        <v>37575.328000000001</v>
      </c>
      <c r="J44">
        <v>1422971</v>
      </c>
      <c r="L44">
        <f t="shared" ref="L44" si="192">E44-E43</f>
        <v>24.61</v>
      </c>
      <c r="M44">
        <f t="shared" ref="M44" si="193">J44-J42</f>
        <v>588475</v>
      </c>
      <c r="N44">
        <f t="shared" ref="N44" si="194">M44/L44</f>
        <v>23912.027631044293</v>
      </c>
      <c r="S44" s="2" t="s">
        <v>12</v>
      </c>
      <c r="U44" t="s">
        <v>1</v>
      </c>
      <c r="V44">
        <v>34.195999999999998</v>
      </c>
      <c r="W44">
        <v>630615</v>
      </c>
      <c r="AA44">
        <f t="shared" ref="AA44" si="195">W44/V44</f>
        <v>18441.19195227512</v>
      </c>
      <c r="AE44" s="10" t="s">
        <v>10</v>
      </c>
      <c r="AG44" t="s">
        <v>1</v>
      </c>
      <c r="AH44">
        <v>41.536999999999999</v>
      </c>
      <c r="AI44">
        <v>658199</v>
      </c>
      <c r="AM44">
        <f t="shared" ref="AM44" si="196">AI44/AH44</f>
        <v>15846.08902905843</v>
      </c>
    </row>
    <row r="45" spans="2:41" x14ac:dyDescent="0.2">
      <c r="B45" s="10" t="s">
        <v>10</v>
      </c>
      <c r="D45" t="s">
        <v>1</v>
      </c>
      <c r="E45">
        <v>37.893000000000001</v>
      </c>
      <c r="F45">
        <v>742.529</v>
      </c>
      <c r="G45">
        <v>318</v>
      </c>
      <c r="H45">
        <v>1583</v>
      </c>
      <c r="I45">
        <v>28136.625</v>
      </c>
      <c r="J45">
        <v>1065529</v>
      </c>
      <c r="O45">
        <f t="shared" ref="O45" si="197">J45/E45</f>
        <v>28119.415195418678</v>
      </c>
      <c r="S45" s="2"/>
      <c r="U45" t="s">
        <v>3</v>
      </c>
      <c r="V45">
        <v>34.195999999999998</v>
      </c>
      <c r="W45">
        <v>324545</v>
      </c>
      <c r="AB45">
        <f t="shared" ref="AB45" si="198">AA44/Z46</f>
        <v>1.1740812354092334</v>
      </c>
      <c r="AC45">
        <f t="shared" ref="AC45" si="199">AB45/1.05802901</f>
        <v>1.1096871865632809</v>
      </c>
      <c r="AE45" s="10"/>
      <c r="AG45" t="s">
        <v>3</v>
      </c>
      <c r="AH45">
        <v>41.536999999999999</v>
      </c>
      <c r="AI45">
        <v>413723</v>
      </c>
      <c r="AN45">
        <f t="shared" ref="AN45" si="200">AM44/AL46</f>
        <v>1.015531385822565</v>
      </c>
      <c r="AO45">
        <f t="shared" ref="AO45" si="201">AN45/1.05802901</f>
        <v>0.95983321461343007</v>
      </c>
    </row>
    <row r="46" spans="2:41" x14ac:dyDescent="0.2">
      <c r="B46" s="10"/>
      <c r="D46" t="s">
        <v>3</v>
      </c>
      <c r="E46">
        <v>37.893000000000001</v>
      </c>
      <c r="F46">
        <v>251.875</v>
      </c>
      <c r="G46">
        <v>175</v>
      </c>
      <c r="H46">
        <v>374</v>
      </c>
      <c r="I46">
        <v>9544.3009999999995</v>
      </c>
      <c r="J46">
        <v>361441</v>
      </c>
      <c r="P46">
        <f t="shared" ref="P46" si="202">O45/N47</f>
        <v>1.0368880054500302</v>
      </c>
      <c r="S46" s="2"/>
      <c r="U46" t="s">
        <v>2</v>
      </c>
      <c r="V46">
        <v>68.551000000000002</v>
      </c>
      <c r="W46">
        <v>1170226</v>
      </c>
      <c r="X46">
        <f t="shared" ref="X46:Y46" si="203">V46-V44</f>
        <v>34.355000000000004</v>
      </c>
      <c r="Y46">
        <f t="shared" si="203"/>
        <v>539611</v>
      </c>
      <c r="Z46">
        <f t="shared" ref="Z46" si="204">Y46/X46</f>
        <v>15706.913113083974</v>
      </c>
      <c r="AE46" s="10"/>
      <c r="AG46" t="s">
        <v>2</v>
      </c>
      <c r="AH46">
        <v>59.070999999999998</v>
      </c>
      <c r="AI46">
        <v>931795</v>
      </c>
      <c r="AJ46">
        <f t="shared" ref="AJ46:AK46" si="205">AH46-AH44</f>
        <v>17.533999999999999</v>
      </c>
      <c r="AK46">
        <f t="shared" si="205"/>
        <v>273596</v>
      </c>
      <c r="AL46">
        <f t="shared" ref="AL46" si="206">AK46/AJ46</f>
        <v>15603.741302612068</v>
      </c>
    </row>
    <row r="47" spans="2:41" x14ac:dyDescent="0.2">
      <c r="B47" s="10"/>
      <c r="D47" t="s">
        <v>2</v>
      </c>
      <c r="E47">
        <v>63.639000000000003</v>
      </c>
      <c r="F47">
        <v>731.84100000000001</v>
      </c>
      <c r="G47">
        <v>318</v>
      </c>
      <c r="H47">
        <v>1583</v>
      </c>
      <c r="I47">
        <v>46573.654000000002</v>
      </c>
      <c r="J47">
        <v>1763736</v>
      </c>
      <c r="L47">
        <f t="shared" ref="L47" si="207">E47-E46</f>
        <v>25.746000000000002</v>
      </c>
      <c r="M47">
        <f t="shared" ref="M47" si="208">J47-J45</f>
        <v>698207</v>
      </c>
      <c r="N47">
        <f t="shared" ref="N47" si="209">M47/L47</f>
        <v>27119.047619047618</v>
      </c>
      <c r="S47" s="2" t="s">
        <v>12</v>
      </c>
      <c r="U47" t="s">
        <v>1</v>
      </c>
      <c r="V47">
        <v>29.469000000000001</v>
      </c>
      <c r="W47">
        <v>852460</v>
      </c>
      <c r="AA47">
        <f t="shared" ref="AA47" si="210">W47/V47</f>
        <v>28927.347381994638</v>
      </c>
      <c r="AE47" s="10" t="s">
        <v>10</v>
      </c>
      <c r="AG47" t="s">
        <v>1</v>
      </c>
      <c r="AH47">
        <v>37.601999999999997</v>
      </c>
      <c r="AI47">
        <v>648537</v>
      </c>
      <c r="AM47">
        <f t="shared" ref="AM47" si="211">AI47/AH47</f>
        <v>17247.407052816339</v>
      </c>
    </row>
    <row r="48" spans="2:41" x14ac:dyDescent="0.2">
      <c r="B48" s="10" t="s">
        <v>10</v>
      </c>
      <c r="D48" t="s">
        <v>1</v>
      </c>
      <c r="E48">
        <v>36.942</v>
      </c>
      <c r="F48">
        <v>579.81899999999996</v>
      </c>
      <c r="G48">
        <v>307</v>
      </c>
      <c r="H48">
        <v>1192</v>
      </c>
      <c r="I48">
        <v>21419.879000000001</v>
      </c>
      <c r="J48">
        <v>811167</v>
      </c>
      <c r="O48">
        <f t="shared" ref="O48" si="212">J48/E48</f>
        <v>21957.852850414161</v>
      </c>
      <c r="S48" s="2"/>
      <c r="U48" t="s">
        <v>3</v>
      </c>
      <c r="V48">
        <v>29.469000000000001</v>
      </c>
      <c r="W48">
        <v>1200132</v>
      </c>
      <c r="AB48">
        <f t="shared" ref="AB48" si="213">AA47/Z49</f>
        <v>1.0586304373696738</v>
      </c>
      <c r="AC48">
        <f t="shared" ref="AC48" si="214">AB48/1.05802901</f>
        <v>1.0005684412846805</v>
      </c>
      <c r="AE48" s="10"/>
      <c r="AG48" t="s">
        <v>3</v>
      </c>
      <c r="AH48">
        <v>37.601999999999997</v>
      </c>
      <c r="AI48">
        <v>394688</v>
      </c>
      <c r="AN48">
        <f t="shared" ref="AN48" si="215">AM47/AL49</f>
        <v>1.1059404849518688</v>
      </c>
      <c r="AO48">
        <f t="shared" ref="AO48" si="216">AN48/1.05802901</f>
        <v>1.0452837063058118</v>
      </c>
    </row>
    <row r="49" spans="1:41" x14ac:dyDescent="0.2">
      <c r="B49" s="10"/>
      <c r="D49" t="s">
        <v>3</v>
      </c>
      <c r="E49">
        <v>36.942</v>
      </c>
      <c r="F49">
        <v>375.04899999999998</v>
      </c>
      <c r="G49">
        <v>209</v>
      </c>
      <c r="H49">
        <v>780</v>
      </c>
      <c r="I49">
        <v>13855.200999999999</v>
      </c>
      <c r="J49">
        <v>524694</v>
      </c>
      <c r="P49">
        <f t="shared" ref="P49" si="217">O48/N50</f>
        <v>0.77826966060704517</v>
      </c>
      <c r="S49" s="2"/>
      <c r="U49" t="s">
        <v>2</v>
      </c>
      <c r="V49">
        <v>72.881</v>
      </c>
      <c r="W49">
        <v>2038704</v>
      </c>
      <c r="X49">
        <f t="shared" ref="X49:Y49" si="218">V49-V47</f>
        <v>43.411999999999999</v>
      </c>
      <c r="Y49">
        <f t="shared" si="218"/>
        <v>1186244</v>
      </c>
      <c r="Z49">
        <f t="shared" ref="Z49" si="219">Y49/X49</f>
        <v>27325.255689671059</v>
      </c>
      <c r="AE49" s="10"/>
      <c r="AG49" t="s">
        <v>2</v>
      </c>
      <c r="AH49">
        <v>51.677</v>
      </c>
      <c r="AI49">
        <v>868040</v>
      </c>
      <c r="AJ49">
        <f t="shared" ref="AJ49:AK49" si="220">AH49-AH47</f>
        <v>14.075000000000003</v>
      </c>
      <c r="AK49">
        <f t="shared" si="220"/>
        <v>219503</v>
      </c>
      <c r="AL49">
        <f t="shared" ref="AL49" si="221">AK49/AJ49</f>
        <v>15595.239786856124</v>
      </c>
    </row>
    <row r="50" spans="1:41" x14ac:dyDescent="0.2">
      <c r="B50" s="10"/>
      <c r="D50" t="s">
        <v>2</v>
      </c>
      <c r="E50">
        <v>46.765000000000001</v>
      </c>
      <c r="F50">
        <v>614.51700000000005</v>
      </c>
      <c r="G50">
        <v>260</v>
      </c>
      <c r="H50">
        <v>1192</v>
      </c>
      <c r="I50">
        <v>28738.186000000002</v>
      </c>
      <c r="J50">
        <v>1088310</v>
      </c>
      <c r="L50">
        <f t="shared" ref="L50" si="222">E50-E49</f>
        <v>9.8230000000000004</v>
      </c>
      <c r="M50">
        <f t="shared" ref="M50" si="223">J50-J48</f>
        <v>277143</v>
      </c>
      <c r="N50">
        <f t="shared" ref="N50" si="224">M50/L50</f>
        <v>28213.682174488444</v>
      </c>
      <c r="S50" s="2" t="s">
        <v>12</v>
      </c>
      <c r="U50" t="s">
        <v>1</v>
      </c>
      <c r="V50">
        <v>30.684000000000001</v>
      </c>
      <c r="W50">
        <v>697501</v>
      </c>
      <c r="AA50">
        <f t="shared" ref="AA50" si="225">W50/V50</f>
        <v>22731.749445965324</v>
      </c>
      <c r="AE50" s="10" t="s">
        <v>10</v>
      </c>
      <c r="AG50" t="s">
        <v>1</v>
      </c>
      <c r="AH50">
        <v>39.027999999999999</v>
      </c>
      <c r="AI50">
        <v>746563</v>
      </c>
      <c r="AM50">
        <f t="shared" ref="AM50" si="226">AI50/AH50</f>
        <v>19128.907451060779</v>
      </c>
    </row>
    <row r="51" spans="1:41" x14ac:dyDescent="0.2">
      <c r="B51" s="2" t="s">
        <v>12</v>
      </c>
      <c r="D51" t="s">
        <v>1</v>
      </c>
      <c r="E51">
        <v>33.033999999999999</v>
      </c>
      <c r="F51">
        <v>799.03399999999999</v>
      </c>
      <c r="G51">
        <v>453</v>
      </c>
      <c r="H51">
        <v>1587</v>
      </c>
      <c r="I51">
        <v>26395.45</v>
      </c>
      <c r="J51">
        <v>999591</v>
      </c>
      <c r="O51">
        <f t="shared" ref="O51" si="227">J51/E51</f>
        <v>30259.459950354183</v>
      </c>
      <c r="S51" s="2"/>
      <c r="U51" t="s">
        <v>3</v>
      </c>
      <c r="V51">
        <v>30.684000000000001</v>
      </c>
      <c r="W51">
        <v>869656</v>
      </c>
      <c r="AB51">
        <f t="shared" ref="AB51" si="228">AA50/Z52</f>
        <v>1.0666767367722361</v>
      </c>
      <c r="AC51">
        <f t="shared" ref="AC51" si="229">AB51/1.05802901</f>
        <v>1.0081734306814858</v>
      </c>
      <c r="AE51" s="10"/>
      <c r="AG51" t="s">
        <v>3</v>
      </c>
      <c r="AH51">
        <v>39.027999999999999</v>
      </c>
      <c r="AI51">
        <v>376124</v>
      </c>
      <c r="AN51">
        <f t="shared" ref="AN51" si="230">AM50/AL52</f>
        <v>1.1468726205871154</v>
      </c>
      <c r="AO51">
        <f t="shared" ref="AO51" si="231">AN51/1.05802901</f>
        <v>1.0839708644540051</v>
      </c>
    </row>
    <row r="52" spans="1:41" x14ac:dyDescent="0.2">
      <c r="B52" s="2"/>
      <c r="D52" t="s">
        <v>3</v>
      </c>
      <c r="E52">
        <v>33.033999999999999</v>
      </c>
      <c r="F52">
        <v>1213.5999999999999</v>
      </c>
      <c r="G52">
        <v>277</v>
      </c>
      <c r="H52">
        <v>3426</v>
      </c>
      <c r="I52">
        <v>40090.338000000003</v>
      </c>
      <c r="J52">
        <v>1518214</v>
      </c>
      <c r="P52" s="4">
        <f t="shared" ref="P52" si="232">O51/N53</f>
        <v>0.95059384262209667</v>
      </c>
      <c r="S52" s="2"/>
      <c r="U52" t="s">
        <v>2</v>
      </c>
      <c r="V52">
        <v>52.442999999999998</v>
      </c>
      <c r="W52">
        <v>1161203</v>
      </c>
      <c r="X52">
        <f t="shared" ref="X52:Y52" si="233">V52-V50</f>
        <v>21.758999999999997</v>
      </c>
      <c r="Y52">
        <f t="shared" si="233"/>
        <v>463702</v>
      </c>
      <c r="Z52">
        <f t="shared" ref="Z52" si="234">Y52/X52</f>
        <v>21310.813916080704</v>
      </c>
      <c r="AE52" s="10"/>
      <c r="AG52" t="s">
        <v>2</v>
      </c>
      <c r="AH52">
        <v>52.575000000000003</v>
      </c>
      <c r="AI52">
        <v>972516</v>
      </c>
      <c r="AJ52">
        <f t="shared" ref="AJ52:AK52" si="235">AH52-AH50</f>
        <v>13.547000000000004</v>
      </c>
      <c r="AK52">
        <f t="shared" si="235"/>
        <v>225953</v>
      </c>
      <c r="AL52">
        <f t="shared" ref="AL52" si="236">AK52/AJ52</f>
        <v>16679.190964789246</v>
      </c>
    </row>
    <row r="53" spans="1:41" x14ac:dyDescent="0.2">
      <c r="B53" s="2"/>
      <c r="D53" t="s">
        <v>2</v>
      </c>
      <c r="E53">
        <v>49.722999999999999</v>
      </c>
      <c r="F53">
        <v>812.97799999999995</v>
      </c>
      <c r="G53">
        <v>453</v>
      </c>
      <c r="H53">
        <v>1695</v>
      </c>
      <c r="I53">
        <v>40423.690999999999</v>
      </c>
      <c r="J53">
        <v>1530838</v>
      </c>
      <c r="L53">
        <f t="shared" ref="L53" si="237">E53-E52</f>
        <v>16.689</v>
      </c>
      <c r="M53">
        <f t="shared" ref="M53" si="238">J53-J51</f>
        <v>531247</v>
      </c>
      <c r="N53">
        <f t="shared" ref="N53" si="239">M53/L53</f>
        <v>31832.164899035291</v>
      </c>
      <c r="S53" s="2" t="s">
        <v>12</v>
      </c>
      <c r="U53" t="s">
        <v>1</v>
      </c>
      <c r="V53">
        <v>39.134</v>
      </c>
      <c r="W53">
        <v>767510</v>
      </c>
      <c r="AA53">
        <f t="shared" ref="AA53" si="240">W53/V53</f>
        <v>19612.357540757399</v>
      </c>
      <c r="AE53" s="10" t="s">
        <v>10</v>
      </c>
      <c r="AG53" t="s">
        <v>1</v>
      </c>
      <c r="AH53">
        <v>42.673000000000002</v>
      </c>
      <c r="AI53">
        <v>873028</v>
      </c>
      <c r="AM53">
        <f t="shared" ref="AM53" si="241">AI53/AH53</f>
        <v>20458.556932955264</v>
      </c>
    </row>
    <row r="54" spans="1:41" x14ac:dyDescent="0.2">
      <c r="B54" s="2" t="s">
        <v>12</v>
      </c>
      <c r="D54" t="s">
        <v>1</v>
      </c>
      <c r="E54">
        <v>16.821000000000002</v>
      </c>
      <c r="F54">
        <v>687.89800000000002</v>
      </c>
      <c r="G54">
        <v>303</v>
      </c>
      <c r="H54">
        <v>1094</v>
      </c>
      <c r="I54">
        <v>11570.981</v>
      </c>
      <c r="J54">
        <v>438191</v>
      </c>
      <c r="O54">
        <f t="shared" ref="O54" si="242">J54/E54</f>
        <v>26050.234825515723</v>
      </c>
      <c r="S54" s="2"/>
      <c r="U54" t="s">
        <v>3</v>
      </c>
      <c r="V54">
        <v>39.134</v>
      </c>
      <c r="W54">
        <v>1270570</v>
      </c>
      <c r="AB54">
        <f t="shared" ref="AB54" si="243">AA53/Z55</f>
        <v>0.99175446393565747</v>
      </c>
      <c r="AC54">
        <f t="shared" ref="AC54" si="244">AB54/1.05802901</f>
        <v>0.93736036967044734</v>
      </c>
      <c r="AE54" s="10"/>
      <c r="AG54" t="s">
        <v>3</v>
      </c>
      <c r="AH54">
        <v>42.673000000000002</v>
      </c>
      <c r="AI54">
        <v>384283</v>
      </c>
      <c r="AN54">
        <f t="shared" ref="AN54" si="245">AM53/AL55</f>
        <v>1.1822132025430749</v>
      </c>
      <c r="AO54">
        <f t="shared" ref="AO54" si="246">AN54/1.05802901</f>
        <v>1.117373145130562</v>
      </c>
    </row>
    <row r="55" spans="1:41" x14ac:dyDescent="0.2">
      <c r="B55" s="2"/>
      <c r="D55" t="s">
        <v>3</v>
      </c>
      <c r="E55">
        <v>16.821000000000002</v>
      </c>
      <c r="F55">
        <v>1033.146</v>
      </c>
      <c r="G55">
        <v>374</v>
      </c>
      <c r="H55">
        <v>2048</v>
      </c>
      <c r="I55">
        <v>17378.323</v>
      </c>
      <c r="J55">
        <v>658114</v>
      </c>
      <c r="P55">
        <f t="shared" ref="P55" si="247">O54/N56</f>
        <v>1.1699939601710356</v>
      </c>
      <c r="S55" s="2"/>
      <c r="U55" t="s">
        <v>2</v>
      </c>
      <c r="V55">
        <v>64.167000000000002</v>
      </c>
      <c r="W55">
        <v>1262548</v>
      </c>
      <c r="X55">
        <f t="shared" ref="X55:Y55" si="248">V55-V53</f>
        <v>25.033000000000001</v>
      </c>
      <c r="Y55">
        <f t="shared" si="248"/>
        <v>495038</v>
      </c>
      <c r="Z55">
        <f t="shared" ref="Z55" si="249">Y55/X55</f>
        <v>19775.416450285622</v>
      </c>
      <c r="AE55" s="10"/>
      <c r="AG55" t="s">
        <v>2</v>
      </c>
      <c r="AH55">
        <v>78.11</v>
      </c>
      <c r="AI55">
        <v>1486276</v>
      </c>
      <c r="AJ55">
        <f t="shared" ref="AJ55:AK55" si="250">AH55-AH53</f>
        <v>35.436999999999998</v>
      </c>
      <c r="AK55">
        <f t="shared" si="250"/>
        <v>613248</v>
      </c>
      <c r="AL55">
        <f t="shared" ref="AL55" si="251">AK55/AJ55</f>
        <v>17305.302367581906</v>
      </c>
    </row>
    <row r="56" spans="1:41" x14ac:dyDescent="0.2">
      <c r="B56" s="2"/>
      <c r="D56" t="s">
        <v>2</v>
      </c>
      <c r="E56">
        <v>32.796999999999997</v>
      </c>
      <c r="F56">
        <v>639.21199999999999</v>
      </c>
      <c r="G56">
        <v>299</v>
      </c>
      <c r="H56">
        <v>1321</v>
      </c>
      <c r="I56">
        <v>20963.948</v>
      </c>
      <c r="J56">
        <v>793901</v>
      </c>
      <c r="L56">
        <f t="shared" ref="L56" si="252">E56-E55</f>
        <v>15.975999999999996</v>
      </c>
      <c r="M56">
        <f t="shared" ref="M56" si="253">J56-J54</f>
        <v>355710</v>
      </c>
      <c r="N56">
        <f t="shared" ref="N56" si="254">M56/L56</f>
        <v>22265.272909364052</v>
      </c>
      <c r="S56" s="2" t="s">
        <v>12</v>
      </c>
      <c r="U56" t="s">
        <v>1</v>
      </c>
      <c r="V56">
        <v>52.76</v>
      </c>
      <c r="W56">
        <v>1000487</v>
      </c>
      <c r="AA56">
        <f t="shared" ref="AA56" si="255">W56/V56</f>
        <v>18962.983320697498</v>
      </c>
      <c r="AE56" s="10" t="s">
        <v>10</v>
      </c>
      <c r="AG56" t="s">
        <v>1</v>
      </c>
      <c r="AH56">
        <v>21.626999999999999</v>
      </c>
      <c r="AI56">
        <v>445027</v>
      </c>
      <c r="AM56">
        <f t="shared" ref="AM56" si="256">AI56/AH56</f>
        <v>20577.380126693486</v>
      </c>
    </row>
    <row r="57" spans="1:41" x14ac:dyDescent="0.2">
      <c r="B57" s="2" t="s">
        <v>12</v>
      </c>
      <c r="D57" t="s">
        <v>1</v>
      </c>
      <c r="E57">
        <v>24.847999999999999</v>
      </c>
      <c r="F57">
        <v>669.96900000000005</v>
      </c>
      <c r="G57">
        <v>347</v>
      </c>
      <c r="H57">
        <v>1152</v>
      </c>
      <c r="I57">
        <v>16647.582999999999</v>
      </c>
      <c r="J57">
        <v>630441</v>
      </c>
      <c r="O57">
        <f t="shared" ref="O57" si="257">J57/E57</f>
        <v>25371.901159047007</v>
      </c>
      <c r="S57" s="2"/>
      <c r="U57" t="s">
        <v>3</v>
      </c>
      <c r="V57">
        <v>52.76</v>
      </c>
      <c r="W57">
        <v>1414215</v>
      </c>
      <c r="AB57">
        <f t="shared" ref="AB57" si="258">AA56/Z58</f>
        <v>0.97602320419253552</v>
      </c>
      <c r="AC57">
        <f t="shared" ref="AC57" si="259">AB57/1.05802901</f>
        <v>0.92249191181679935</v>
      </c>
      <c r="AE57" s="10"/>
      <c r="AG57" t="s">
        <v>3</v>
      </c>
      <c r="AH57">
        <v>21.626999999999999</v>
      </c>
      <c r="AI57">
        <v>183052</v>
      </c>
      <c r="AN57">
        <f t="shared" ref="AN57" si="260">AM56/AL58</f>
        <v>0.90365548256115269</v>
      </c>
      <c r="AO57">
        <f t="shared" ref="AO57" si="261">AN57/1.05802901</f>
        <v>0.85409329424828595</v>
      </c>
    </row>
    <row r="58" spans="1:41" x14ac:dyDescent="0.2">
      <c r="B58" s="2"/>
      <c r="D58" t="s">
        <v>3</v>
      </c>
      <c r="E58">
        <v>24.847999999999999</v>
      </c>
      <c r="F58">
        <v>934.45</v>
      </c>
      <c r="G58">
        <v>349</v>
      </c>
      <c r="H58">
        <v>1913</v>
      </c>
      <c r="I58">
        <v>23219.465</v>
      </c>
      <c r="J58">
        <v>879317</v>
      </c>
      <c r="P58" s="4">
        <f t="shared" ref="P58" si="262">O57/N59</f>
        <v>0.99692650589548515</v>
      </c>
      <c r="S58" s="2"/>
      <c r="U58" t="s">
        <v>2</v>
      </c>
      <c r="V58">
        <v>88.355000000000004</v>
      </c>
      <c r="W58">
        <v>1692056</v>
      </c>
      <c r="X58">
        <f t="shared" ref="X58:Y58" si="263">V58-V56</f>
        <v>35.595000000000006</v>
      </c>
      <c r="Y58">
        <f t="shared" si="263"/>
        <v>691569</v>
      </c>
      <c r="Z58">
        <f t="shared" ref="Z58" si="264">Y58/X58</f>
        <v>19428.824273072056</v>
      </c>
      <c r="AE58" s="10"/>
      <c r="AG58" t="s">
        <v>2</v>
      </c>
      <c r="AH58">
        <v>34.17</v>
      </c>
      <c r="AI58">
        <v>730647</v>
      </c>
      <c r="AJ58">
        <f t="shared" ref="AJ58:AK58" si="265">AH58-AH56</f>
        <v>12.543000000000003</v>
      </c>
      <c r="AK58">
        <f t="shared" si="265"/>
        <v>285620</v>
      </c>
      <c r="AL58">
        <f t="shared" ref="AL58" si="266">AK58/AJ58</f>
        <v>22771.266842063298</v>
      </c>
    </row>
    <row r="59" spans="1:41" x14ac:dyDescent="0.2">
      <c r="B59" s="2"/>
      <c r="D59" t="s">
        <v>2</v>
      </c>
      <c r="E59">
        <v>56.826000000000001</v>
      </c>
      <c r="F59">
        <v>671.13599999999997</v>
      </c>
      <c r="G59">
        <v>347</v>
      </c>
      <c r="H59">
        <v>1326</v>
      </c>
      <c r="I59">
        <v>38138.150999999998</v>
      </c>
      <c r="J59">
        <v>1444285</v>
      </c>
      <c r="L59">
        <f t="shared" ref="L59" si="267">E59-E58</f>
        <v>31.978000000000002</v>
      </c>
      <c r="M59">
        <f t="shared" ref="M59" si="268">J59-J57</f>
        <v>813844</v>
      </c>
      <c r="N59">
        <f t="shared" ref="N59" si="269">M59/L59</f>
        <v>25450.121958846707</v>
      </c>
      <c r="S59" s="2" t="s">
        <v>12</v>
      </c>
      <c r="U59" t="s">
        <v>1</v>
      </c>
      <c r="V59">
        <v>25.667000000000002</v>
      </c>
      <c r="W59">
        <v>568180</v>
      </c>
      <c r="AA59">
        <f t="shared" ref="AA59" si="270">W59/V59</f>
        <v>22136.595628628198</v>
      </c>
      <c r="AE59" s="10" t="s">
        <v>10</v>
      </c>
      <c r="AG59" t="s">
        <v>1</v>
      </c>
      <c r="AH59">
        <v>20.359000000000002</v>
      </c>
      <c r="AI59">
        <v>414631</v>
      </c>
      <c r="AM59">
        <f t="shared" ref="AM59" si="271">AI59/AH59</f>
        <v>20365.980647379536</v>
      </c>
    </row>
    <row r="60" spans="1:41" x14ac:dyDescent="0.2">
      <c r="A60" t="s">
        <v>14</v>
      </c>
      <c r="B60" s="2" t="s">
        <v>12</v>
      </c>
      <c r="D60" t="s">
        <v>1</v>
      </c>
      <c r="E60">
        <v>26.327000000000002</v>
      </c>
      <c r="F60">
        <v>707.96299999999997</v>
      </c>
      <c r="G60">
        <v>380</v>
      </c>
      <c r="H60">
        <v>1544</v>
      </c>
      <c r="I60">
        <v>18638.561000000002</v>
      </c>
      <c r="J60">
        <v>705839</v>
      </c>
      <c r="O60">
        <f t="shared" ref="O60" si="272">J60/E60</f>
        <v>26810.460743723172</v>
      </c>
      <c r="S60" s="2"/>
      <c r="U60" t="s">
        <v>3</v>
      </c>
      <c r="V60">
        <v>25.667000000000002</v>
      </c>
      <c r="W60">
        <v>652869</v>
      </c>
      <c r="AB60">
        <f t="shared" ref="AB60" si="273">AA59/Z61</f>
        <v>1.1547407531776348</v>
      </c>
      <c r="AC60">
        <f t="shared" ref="AC60" si="274">AB60/1.05802901</f>
        <v>1.0914074588348337</v>
      </c>
      <c r="AE60" s="10"/>
      <c r="AG60" t="s">
        <v>3</v>
      </c>
      <c r="AH60">
        <v>20.359000000000002</v>
      </c>
      <c r="AI60">
        <v>214200</v>
      </c>
      <c r="AN60">
        <f t="shared" ref="AN60" si="275">AM59/AL61</f>
        <v>0.911249495435146</v>
      </c>
      <c r="AO60">
        <f t="shared" ref="AO60" si="276">AN60/1.05802901</f>
        <v>0.86127080337347839</v>
      </c>
    </row>
    <row r="61" spans="1:41" x14ac:dyDescent="0.2">
      <c r="B61" s="2"/>
      <c r="D61" t="s">
        <v>3</v>
      </c>
      <c r="E61">
        <v>26.327000000000002</v>
      </c>
      <c r="F61">
        <v>1427.825</v>
      </c>
      <c r="G61">
        <v>483</v>
      </c>
      <c r="H61">
        <v>3273</v>
      </c>
      <c r="I61">
        <v>37590.406000000003</v>
      </c>
      <c r="J61">
        <v>1423542</v>
      </c>
      <c r="P61" s="7">
        <f t="shared" ref="P61" si="277">O60/N62</f>
        <v>1.221512697255819</v>
      </c>
      <c r="S61" s="2"/>
      <c r="U61" t="s">
        <v>2</v>
      </c>
      <c r="V61">
        <v>45.128</v>
      </c>
      <c r="W61">
        <v>941251</v>
      </c>
      <c r="X61">
        <f t="shared" ref="X61:Y61" si="278">V61-V59</f>
        <v>19.460999999999999</v>
      </c>
      <c r="Y61">
        <f t="shared" si="278"/>
        <v>373071</v>
      </c>
      <c r="Z61">
        <f t="shared" ref="Z61" si="279">Y61/X61</f>
        <v>19170.186526899954</v>
      </c>
      <c r="AE61" s="10"/>
      <c r="AG61" t="s">
        <v>2</v>
      </c>
      <c r="AH61">
        <v>39.582999999999998</v>
      </c>
      <c r="AI61">
        <v>844278</v>
      </c>
      <c r="AJ61">
        <f t="shared" ref="AJ61:AK61" si="280">AH61-AH59</f>
        <v>19.223999999999997</v>
      </c>
      <c r="AK61">
        <f t="shared" si="280"/>
        <v>429647</v>
      </c>
      <c r="AL61">
        <f t="shared" ref="AL61" si="281">AK61/AJ61</f>
        <v>22349.511027881817</v>
      </c>
    </row>
    <row r="62" spans="1:41" x14ac:dyDescent="0.2">
      <c r="B62" s="2"/>
      <c r="D62" t="s">
        <v>2</v>
      </c>
      <c r="E62">
        <v>46.686</v>
      </c>
      <c r="F62">
        <v>651.97400000000005</v>
      </c>
      <c r="G62">
        <v>289</v>
      </c>
      <c r="H62">
        <v>1544</v>
      </c>
      <c r="I62">
        <v>30438.22</v>
      </c>
      <c r="J62">
        <v>1152690</v>
      </c>
      <c r="L62">
        <f t="shared" ref="L62" si="282">E62-E61</f>
        <v>20.358999999999998</v>
      </c>
      <c r="M62">
        <f t="shared" ref="M62" si="283">J62-J60</f>
        <v>446851</v>
      </c>
      <c r="N62">
        <f t="shared" ref="N62" si="284">M62/L62</f>
        <v>21948.573112628324</v>
      </c>
      <c r="S62" s="2" t="s">
        <v>12</v>
      </c>
      <c r="U62" t="s">
        <v>1</v>
      </c>
      <c r="V62">
        <v>18.774999999999999</v>
      </c>
      <c r="W62">
        <v>427923</v>
      </c>
      <c r="AA62">
        <f t="shared" ref="AA62" si="285">W62/V62</f>
        <v>22792.170439414116</v>
      </c>
      <c r="AE62" s="10" t="s">
        <v>10</v>
      </c>
      <c r="AG62" t="s">
        <v>1</v>
      </c>
      <c r="AH62">
        <v>47.637</v>
      </c>
      <c r="AI62">
        <v>1238351</v>
      </c>
      <c r="AM62">
        <f t="shared" ref="AM62" si="286">AI62/AH62</f>
        <v>25995.570669857465</v>
      </c>
    </row>
    <row r="63" spans="1:41" x14ac:dyDescent="0.2">
      <c r="B63" s="10" t="s">
        <v>10</v>
      </c>
      <c r="D63" t="s">
        <v>1</v>
      </c>
      <c r="E63">
        <v>33.878999999999998</v>
      </c>
      <c r="F63">
        <v>485.99799999999999</v>
      </c>
      <c r="G63">
        <v>213</v>
      </c>
      <c r="H63">
        <v>1048</v>
      </c>
      <c r="I63">
        <v>16465.221000000001</v>
      </c>
      <c r="J63">
        <v>623535</v>
      </c>
      <c r="O63">
        <f t="shared" ref="O63" si="287">J63/E63</f>
        <v>18404.764013105465</v>
      </c>
      <c r="S63" s="2"/>
      <c r="U63" t="s">
        <v>3</v>
      </c>
      <c r="V63">
        <v>18.774999999999999</v>
      </c>
      <c r="W63">
        <v>419570</v>
      </c>
      <c r="AB63">
        <f t="shared" ref="AB63" si="288">AA62/Z64</f>
        <v>1.0411276462137173</v>
      </c>
      <c r="AC63">
        <f t="shared" ref="AC63" si="289">AB63/1.05802901</f>
        <v>0.984025614017632</v>
      </c>
      <c r="AE63" s="10"/>
      <c r="AG63" t="s">
        <v>3</v>
      </c>
      <c r="AH63">
        <v>47.637</v>
      </c>
      <c r="AI63">
        <v>405813</v>
      </c>
      <c r="AN63">
        <f t="shared" ref="AN63" si="290">AM62/AL64</f>
        <v>0.99941793740415641</v>
      </c>
      <c r="AO63">
        <f t="shared" ref="AO63" si="291">AN63/1.05802901</f>
        <v>0.9446035297313411</v>
      </c>
    </row>
    <row r="64" spans="1:41" x14ac:dyDescent="0.2">
      <c r="B64" s="10"/>
      <c r="D64" t="s">
        <v>3</v>
      </c>
      <c r="E64">
        <v>33.878999999999998</v>
      </c>
      <c r="F64">
        <v>324.07400000000001</v>
      </c>
      <c r="G64">
        <v>172</v>
      </c>
      <c r="H64">
        <v>497</v>
      </c>
      <c r="I64">
        <v>10979.375</v>
      </c>
      <c r="J64">
        <v>415787</v>
      </c>
      <c r="P64">
        <f t="shared" ref="P64" si="292">O63/N65</f>
        <v>1.0306060212282786</v>
      </c>
      <c r="S64" s="2"/>
      <c r="U64" t="s">
        <v>2</v>
      </c>
      <c r="V64">
        <v>42.381999999999998</v>
      </c>
      <c r="W64">
        <v>944723</v>
      </c>
      <c r="X64">
        <f t="shared" ref="X64:Y64" si="293">V64-V62</f>
        <v>23.606999999999999</v>
      </c>
      <c r="Y64">
        <f t="shared" si="293"/>
        <v>516800</v>
      </c>
      <c r="Z64">
        <f t="shared" ref="Z64" si="294">Y64/X64</f>
        <v>21891.811750751895</v>
      </c>
      <c r="AE64" s="10"/>
      <c r="AG64" t="s">
        <v>2</v>
      </c>
      <c r="AH64">
        <v>82.835999999999999</v>
      </c>
      <c r="AI64">
        <v>2153902</v>
      </c>
      <c r="AJ64">
        <f t="shared" ref="AJ64:AK64" si="295">AH64-AH62</f>
        <v>35.198999999999998</v>
      </c>
      <c r="AK64">
        <f t="shared" si="295"/>
        <v>915551</v>
      </c>
      <c r="AL64">
        <f t="shared" ref="AL64" si="296">AK64/AJ64</f>
        <v>26010.710531549194</v>
      </c>
    </row>
    <row r="65" spans="2:41" x14ac:dyDescent="0.2">
      <c r="B65" s="10"/>
      <c r="D65" t="s">
        <v>2</v>
      </c>
      <c r="E65">
        <v>64.272999999999996</v>
      </c>
      <c r="F65">
        <v>479.17700000000002</v>
      </c>
      <c r="G65">
        <v>168</v>
      </c>
      <c r="H65">
        <v>1078</v>
      </c>
      <c r="I65">
        <v>30798.058000000001</v>
      </c>
      <c r="J65">
        <v>1166317</v>
      </c>
      <c r="L65">
        <f t="shared" ref="L65" si="297">E65-E64</f>
        <v>30.393999999999998</v>
      </c>
      <c r="M65">
        <f t="shared" ref="M65" si="298">J65-J63</f>
        <v>542782</v>
      </c>
      <c r="N65">
        <f t="shared" ref="N65" si="299">M65/L65</f>
        <v>17858.195696519051</v>
      </c>
      <c r="S65" s="2" t="s">
        <v>12</v>
      </c>
      <c r="U65" t="s">
        <v>1</v>
      </c>
      <c r="V65">
        <v>30.922000000000001</v>
      </c>
      <c r="W65">
        <v>839159</v>
      </c>
      <c r="AA65">
        <f t="shared" ref="AA65" si="300">W65/V65</f>
        <v>27137.927689023996</v>
      </c>
      <c r="AE65" s="10" t="s">
        <v>10</v>
      </c>
      <c r="AG65" t="s">
        <v>1</v>
      </c>
      <c r="AH65">
        <v>48.667000000000002</v>
      </c>
      <c r="AI65">
        <v>1128348</v>
      </c>
      <c r="AM65">
        <f t="shared" ref="AM65" si="301">AI65/AH65</f>
        <v>23185.074074835102</v>
      </c>
    </row>
    <row r="66" spans="2:41" x14ac:dyDescent="0.2">
      <c r="B66" s="10" t="s">
        <v>10</v>
      </c>
      <c r="D66" t="s">
        <v>1</v>
      </c>
      <c r="E66">
        <v>26.036999999999999</v>
      </c>
      <c r="F66">
        <v>300.85500000000002</v>
      </c>
      <c r="G66">
        <v>107</v>
      </c>
      <c r="H66">
        <v>968</v>
      </c>
      <c r="I66">
        <v>7833.2290000000003</v>
      </c>
      <c r="J66">
        <v>296643</v>
      </c>
      <c r="O66">
        <f t="shared" ref="O66" si="302">J66/E66</f>
        <v>11393.132849406615</v>
      </c>
      <c r="S66" s="2"/>
      <c r="U66" t="s">
        <v>3</v>
      </c>
      <c r="V66">
        <v>30.922000000000001</v>
      </c>
      <c r="W66">
        <v>1023795</v>
      </c>
      <c r="AB66">
        <f t="shared" ref="AB66" si="303">AA65/Z67</f>
        <v>1.3799693047814667</v>
      </c>
      <c r="AC66">
        <f t="shared" ref="AC66" si="304">AB66/1.05802901</f>
        <v>1.3042830505956227</v>
      </c>
      <c r="AE66" s="10"/>
      <c r="AG66" t="s">
        <v>3</v>
      </c>
      <c r="AH66">
        <v>48.667000000000002</v>
      </c>
      <c r="AI66">
        <v>409974</v>
      </c>
      <c r="AN66">
        <f t="shared" ref="AN66" si="305">AM65/AL67</f>
        <v>0.98424241563077863</v>
      </c>
      <c r="AO66">
        <f t="shared" ref="AO66" si="306">AN66/1.05802901</f>
        <v>0.93026032965842642</v>
      </c>
    </row>
    <row r="67" spans="2:41" x14ac:dyDescent="0.2">
      <c r="B67" s="10"/>
      <c r="D67" t="s">
        <v>3</v>
      </c>
      <c r="E67">
        <v>26.036999999999999</v>
      </c>
      <c r="F67">
        <v>335.41699999999997</v>
      </c>
      <c r="G67">
        <v>178</v>
      </c>
      <c r="H67">
        <v>609</v>
      </c>
      <c r="I67">
        <v>8733.1010000000006</v>
      </c>
      <c r="J67">
        <v>330721</v>
      </c>
      <c r="P67">
        <f t="shared" ref="P67" si="307">O66/N68</f>
        <v>0.34333029159689993</v>
      </c>
      <c r="S67" s="2"/>
      <c r="U67" t="s">
        <v>2</v>
      </c>
      <c r="V67">
        <v>53.472999999999999</v>
      </c>
      <c r="W67">
        <v>1282638</v>
      </c>
      <c r="X67">
        <f t="shared" ref="X67:Y67" si="308">V67-V65</f>
        <v>22.550999999999998</v>
      </c>
      <c r="Y67">
        <f t="shared" si="308"/>
        <v>443479</v>
      </c>
      <c r="Z67">
        <f t="shared" ref="Z67" si="309">Y67/X67</f>
        <v>19665.602412309876</v>
      </c>
      <c r="AE67" s="10"/>
      <c r="AG67" t="s">
        <v>2</v>
      </c>
      <c r="AH67">
        <v>82.863</v>
      </c>
      <c r="AI67">
        <v>1933878</v>
      </c>
      <c r="AJ67">
        <f t="shared" ref="AJ67:AK67" si="310">AH67-AH65</f>
        <v>34.195999999999998</v>
      </c>
      <c r="AK67">
        <f t="shared" si="310"/>
        <v>805530</v>
      </c>
      <c r="AL67">
        <f t="shared" ref="AL67" si="311">AK67/AJ67</f>
        <v>23556.26389051351</v>
      </c>
    </row>
    <row r="68" spans="2:41" x14ac:dyDescent="0.2">
      <c r="B68" s="10"/>
      <c r="D68" t="s">
        <v>2</v>
      </c>
      <c r="E68">
        <v>58.886000000000003</v>
      </c>
      <c r="F68">
        <v>621.84299999999996</v>
      </c>
      <c r="G68">
        <v>221</v>
      </c>
      <c r="H68">
        <v>1230</v>
      </c>
      <c r="I68">
        <v>36617.811000000002</v>
      </c>
      <c r="J68">
        <v>1386710</v>
      </c>
      <c r="L68">
        <f t="shared" ref="L68" si="312">E68-E67</f>
        <v>32.849000000000004</v>
      </c>
      <c r="M68">
        <f t="shared" ref="M68" si="313">J68-J66</f>
        <v>1090067</v>
      </c>
      <c r="N68">
        <f t="shared" ref="N68" si="314">M68/L68</f>
        <v>33184.176078419434</v>
      </c>
      <c r="S68" s="2" t="s">
        <v>12</v>
      </c>
      <c r="U68" t="s">
        <v>1</v>
      </c>
      <c r="V68">
        <v>23.686</v>
      </c>
      <c r="W68">
        <v>590485</v>
      </c>
      <c r="AA68">
        <f t="shared" ref="AA68" si="315">W68/V68</f>
        <v>24929.70531115427</v>
      </c>
      <c r="AE68" s="10" t="s">
        <v>10</v>
      </c>
      <c r="AG68" t="s">
        <v>1</v>
      </c>
      <c r="AH68">
        <v>52.496000000000002</v>
      </c>
      <c r="AI68">
        <v>1381478</v>
      </c>
      <c r="AM68">
        <f t="shared" ref="AM68" si="316">AI68/AH68</f>
        <v>26315.871685461749</v>
      </c>
    </row>
    <row r="69" spans="2:41" x14ac:dyDescent="0.2">
      <c r="B69" s="2" t="s">
        <v>12</v>
      </c>
      <c r="D69" t="s">
        <v>1</v>
      </c>
      <c r="E69">
        <v>30.895</v>
      </c>
      <c r="F69">
        <v>640.69399999999996</v>
      </c>
      <c r="G69">
        <v>274</v>
      </c>
      <c r="H69">
        <v>1395</v>
      </c>
      <c r="I69">
        <v>19794.441999999999</v>
      </c>
      <c r="J69">
        <v>749612</v>
      </c>
      <c r="O69">
        <f t="shared" ref="O69" si="317">J69/E69</f>
        <v>24263.214112315909</v>
      </c>
      <c r="S69" s="2"/>
      <c r="U69" t="s">
        <v>3</v>
      </c>
      <c r="V69">
        <v>23.686</v>
      </c>
      <c r="W69">
        <v>801266</v>
      </c>
      <c r="AB69">
        <f t="shared" ref="AB69" si="318">AA68/Z70</f>
        <v>0.86881728906332878</v>
      </c>
      <c r="AC69">
        <f t="shared" ref="AC69" si="319">AB69/1.05802901</f>
        <v>0.82116584786586211</v>
      </c>
      <c r="AE69" s="10"/>
      <c r="AG69" t="s">
        <v>3</v>
      </c>
      <c r="AH69">
        <v>52.496000000000002</v>
      </c>
      <c r="AI69">
        <v>651240</v>
      </c>
      <c r="AN69">
        <f t="shared" ref="AN69" si="320">AM68/AL70</f>
        <v>1.1154305185499807</v>
      </c>
      <c r="AO69">
        <f t="shared" ref="AO69" si="321">AN69/1.05802901</f>
        <v>1.0542532463736327</v>
      </c>
    </row>
    <row r="70" spans="2:41" x14ac:dyDescent="0.2">
      <c r="B70" s="2"/>
      <c r="D70" t="s">
        <v>3</v>
      </c>
      <c r="E70">
        <v>30.895</v>
      </c>
      <c r="F70">
        <v>442.59800000000001</v>
      </c>
      <c r="G70">
        <v>198</v>
      </c>
      <c r="H70">
        <v>844</v>
      </c>
      <c r="I70">
        <v>13674.212</v>
      </c>
      <c r="J70">
        <v>517840</v>
      </c>
      <c r="P70" s="4">
        <f t="shared" ref="P70" si="322">O69/N71</f>
        <v>1.1121672183126061</v>
      </c>
      <c r="S70" s="2"/>
      <c r="U70" t="s">
        <v>2</v>
      </c>
      <c r="V70">
        <v>32.664999999999999</v>
      </c>
      <c r="W70">
        <v>848127</v>
      </c>
      <c r="X70">
        <f t="shared" ref="X70:Y70" si="323">V70-V68</f>
        <v>8.9789999999999992</v>
      </c>
      <c r="Y70">
        <f t="shared" si="323"/>
        <v>257642</v>
      </c>
      <c r="Z70">
        <f t="shared" ref="Z70" si="324">Y70/X70</f>
        <v>28693.841184987195</v>
      </c>
      <c r="AE70" s="10"/>
      <c r="AG70" t="s">
        <v>2</v>
      </c>
      <c r="AH70">
        <v>76.234999999999999</v>
      </c>
      <c r="AI70">
        <v>1941542</v>
      </c>
      <c r="AJ70">
        <f t="shared" ref="AJ70:AK70" si="325">AH70-AH68</f>
        <v>23.738999999999997</v>
      </c>
      <c r="AK70">
        <f t="shared" si="325"/>
        <v>560064</v>
      </c>
      <c r="AL70">
        <f t="shared" ref="AL70" si="326">AK70/AJ70</f>
        <v>23592.569189940608</v>
      </c>
    </row>
    <row r="71" spans="2:41" x14ac:dyDescent="0.2">
      <c r="B71" s="2"/>
      <c r="D71" t="s">
        <v>2</v>
      </c>
      <c r="E71">
        <v>57.064</v>
      </c>
      <c r="F71">
        <v>611.06799999999998</v>
      </c>
      <c r="G71">
        <v>242</v>
      </c>
      <c r="H71">
        <v>1395</v>
      </c>
      <c r="I71">
        <v>34869.955000000002</v>
      </c>
      <c r="J71">
        <v>1320519</v>
      </c>
      <c r="L71">
        <f t="shared" ref="L71" si="327">E71-E70</f>
        <v>26.169</v>
      </c>
      <c r="M71">
        <f t="shared" ref="M71" si="328">J71-J69</f>
        <v>570907</v>
      </c>
      <c r="N71">
        <f t="shared" ref="N71" si="329">M71/L71</f>
        <v>21816.156521074554</v>
      </c>
      <c r="S71" s="2" t="s">
        <v>12</v>
      </c>
      <c r="U71" t="s">
        <v>1</v>
      </c>
      <c r="V71">
        <v>29.285</v>
      </c>
      <c r="W71">
        <v>626635</v>
      </c>
      <c r="AA71">
        <f t="shared" ref="AA71" si="330">W71/V71</f>
        <v>21397.814580843435</v>
      </c>
      <c r="AE71" s="10" t="s">
        <v>10</v>
      </c>
      <c r="AG71" t="s">
        <v>1</v>
      </c>
      <c r="AH71">
        <v>46.369</v>
      </c>
      <c r="AI71">
        <v>1222640</v>
      </c>
      <c r="AM71">
        <f t="shared" ref="AM71" si="331">AI71/AH71</f>
        <v>26367.616295369753</v>
      </c>
    </row>
    <row r="72" spans="2:41" x14ac:dyDescent="0.2">
      <c r="B72" s="10" t="s">
        <v>10</v>
      </c>
      <c r="D72" t="s">
        <v>1</v>
      </c>
      <c r="E72">
        <v>40.692</v>
      </c>
      <c r="F72">
        <v>486.90300000000002</v>
      </c>
      <c r="G72">
        <v>171</v>
      </c>
      <c r="H72">
        <v>1133</v>
      </c>
      <c r="I72">
        <v>19813.058000000001</v>
      </c>
      <c r="J72">
        <v>750317</v>
      </c>
      <c r="O72">
        <f t="shared" ref="O72" si="332">J72/E72</f>
        <v>18438.931485304238</v>
      </c>
      <c r="S72" s="2"/>
      <c r="U72" t="s">
        <v>3</v>
      </c>
      <c r="V72">
        <v>29.285</v>
      </c>
      <c r="W72">
        <v>787855</v>
      </c>
      <c r="AB72">
        <f t="shared" ref="AB72" si="333">AA71/Z73</f>
        <v>0.83225578865511596</v>
      </c>
      <c r="AC72">
        <f t="shared" ref="AC72" si="334">AB72/1.05802901</f>
        <v>0.78660961163542753</v>
      </c>
      <c r="AE72" s="10"/>
      <c r="AG72" t="s">
        <v>3</v>
      </c>
      <c r="AH72">
        <v>46.369</v>
      </c>
      <c r="AI72">
        <v>570496</v>
      </c>
      <c r="AN72">
        <f t="shared" ref="AN72" si="335">AM71/AL73</f>
        <v>0.87382670146559693</v>
      </c>
      <c r="AO72">
        <f t="shared" ref="AO72" si="336">AN72/1.05802901</f>
        <v>0.82590051237403872</v>
      </c>
    </row>
    <row r="73" spans="2:41" x14ac:dyDescent="0.2">
      <c r="B73" s="10"/>
      <c r="D73" t="s">
        <v>3</v>
      </c>
      <c r="E73">
        <v>40.692</v>
      </c>
      <c r="F73">
        <v>326.53500000000003</v>
      </c>
      <c r="G73">
        <v>195</v>
      </c>
      <c r="H73">
        <v>636</v>
      </c>
      <c r="I73">
        <v>13287.361000000001</v>
      </c>
      <c r="J73">
        <v>503190</v>
      </c>
      <c r="P73">
        <f t="shared" ref="P73" si="337">O72/N74</f>
        <v>1.0234480018852352</v>
      </c>
      <c r="S73" s="2"/>
      <c r="U73" t="s">
        <v>2</v>
      </c>
      <c r="V73">
        <v>63.956000000000003</v>
      </c>
      <c r="W73">
        <v>1518048</v>
      </c>
      <c r="X73">
        <f t="shared" ref="X73:Y73" si="338">V73-V71</f>
        <v>34.671000000000006</v>
      </c>
      <c r="Y73">
        <f t="shared" si="338"/>
        <v>891413</v>
      </c>
      <c r="Z73">
        <f t="shared" ref="Z73" si="339">Y73/X73</f>
        <v>25710.622710622705</v>
      </c>
      <c r="AE73" s="10"/>
      <c r="AG73" t="s">
        <v>2</v>
      </c>
      <c r="AH73">
        <v>70.637</v>
      </c>
      <c r="AI73">
        <v>1954924</v>
      </c>
      <c r="AJ73">
        <f t="shared" ref="AJ73:AK73" si="340">AH73-AH71</f>
        <v>24.268000000000001</v>
      </c>
      <c r="AK73">
        <f t="shared" si="340"/>
        <v>732284</v>
      </c>
      <c r="AL73">
        <f t="shared" ref="AL73" si="341">AK73/AJ73</f>
        <v>30174.88050107137</v>
      </c>
    </row>
    <row r="74" spans="2:41" x14ac:dyDescent="0.2">
      <c r="B74" s="10"/>
      <c r="D74" t="s">
        <v>2</v>
      </c>
      <c r="E74">
        <v>82.254999999999995</v>
      </c>
      <c r="F74">
        <v>481.26400000000001</v>
      </c>
      <c r="G74">
        <v>149</v>
      </c>
      <c r="H74">
        <v>1133</v>
      </c>
      <c r="I74">
        <v>39586.559999999998</v>
      </c>
      <c r="J74">
        <v>1499136</v>
      </c>
      <c r="L74">
        <f t="shared" ref="L74" si="342">E74-E73</f>
        <v>41.562999999999995</v>
      </c>
      <c r="M74">
        <f t="shared" ref="M74" si="343">J74-J72</f>
        <v>748819</v>
      </c>
      <c r="N74">
        <f t="shared" ref="N74" si="344">M74/L74</f>
        <v>18016.481004739795</v>
      </c>
      <c r="S74" s="2" t="s">
        <v>12</v>
      </c>
      <c r="U74" t="s">
        <v>1</v>
      </c>
      <c r="V74">
        <v>37.127000000000002</v>
      </c>
      <c r="W74">
        <v>888487</v>
      </c>
      <c r="AA74">
        <f t="shared" ref="AA74" si="345">W74/V74</f>
        <v>23931.020551081423</v>
      </c>
      <c r="AE74" s="1" t="s">
        <v>10</v>
      </c>
      <c r="AG74" t="s">
        <v>1</v>
      </c>
      <c r="AH74">
        <v>25.798999999999999</v>
      </c>
      <c r="AI74">
        <v>735226</v>
      </c>
      <c r="AM74">
        <f t="shared" ref="AM74" si="346">AI74/AH74</f>
        <v>28498.23636575061</v>
      </c>
    </row>
    <row r="75" spans="2:41" x14ac:dyDescent="0.2">
      <c r="B75" s="10" t="s">
        <v>10</v>
      </c>
      <c r="D75" t="s">
        <v>1</v>
      </c>
      <c r="E75">
        <v>52.415999999999997</v>
      </c>
      <c r="F75">
        <v>535.22699999999998</v>
      </c>
      <c r="G75">
        <v>244</v>
      </c>
      <c r="H75">
        <v>1201</v>
      </c>
      <c r="I75">
        <v>28054.66</v>
      </c>
      <c r="J75">
        <v>1062425</v>
      </c>
      <c r="O75">
        <f t="shared" ref="O75" si="347">J75/E75</f>
        <v>20269.097222222223</v>
      </c>
      <c r="S75" s="2"/>
      <c r="U75" t="s">
        <v>3</v>
      </c>
      <c r="V75">
        <v>37.127000000000002</v>
      </c>
      <c r="W75">
        <v>1071969</v>
      </c>
      <c r="AB75">
        <f t="shared" ref="AB75" si="348">AA74/Z76</f>
        <v>1.056432739451802</v>
      </c>
      <c r="AC75">
        <f t="shared" ref="AC75" si="349">AB75/1.05802901</f>
        <v>0.9984912790357251</v>
      </c>
      <c r="AE75" s="1"/>
      <c r="AG75" t="s">
        <v>3</v>
      </c>
      <c r="AH75">
        <v>25.798999999999999</v>
      </c>
      <c r="AI75">
        <v>310434</v>
      </c>
      <c r="AN75">
        <f t="shared" ref="AN75" si="350">AM74/AL76</f>
        <v>1.0878253179846979</v>
      </c>
      <c r="AO75">
        <f t="shared" ref="AO75" si="351">AN75/1.05802901</f>
        <v>1.0281620897943979</v>
      </c>
    </row>
    <row r="76" spans="2:41" x14ac:dyDescent="0.2">
      <c r="B76" s="10"/>
      <c r="D76" t="s">
        <v>3</v>
      </c>
      <c r="E76">
        <v>52.415999999999997</v>
      </c>
      <c r="F76">
        <v>257.81200000000001</v>
      </c>
      <c r="G76">
        <v>161</v>
      </c>
      <c r="H76">
        <v>405</v>
      </c>
      <c r="I76">
        <v>13513.557000000001</v>
      </c>
      <c r="J76">
        <v>511756</v>
      </c>
      <c r="P76">
        <f t="shared" ref="P76" si="352">O75/N77</f>
        <v>1.0986581408620792</v>
      </c>
      <c r="S76" s="2"/>
      <c r="U76" t="s">
        <v>2</v>
      </c>
      <c r="V76">
        <v>45.128</v>
      </c>
      <c r="W76">
        <v>1069731</v>
      </c>
      <c r="X76">
        <f t="shared" ref="X76:Y76" si="353">V76-V74</f>
        <v>8.0009999999999977</v>
      </c>
      <c r="Y76">
        <f t="shared" si="353"/>
        <v>181244</v>
      </c>
      <c r="Z76">
        <f t="shared" ref="Z76" si="354">Y76/X76</f>
        <v>22652.668416447952</v>
      </c>
      <c r="AE76" s="1"/>
      <c r="AG76" t="s">
        <v>2</v>
      </c>
      <c r="AH76">
        <v>32.981000000000002</v>
      </c>
      <c r="AI76">
        <v>923376</v>
      </c>
      <c r="AJ76">
        <f t="shared" ref="AJ76:AK76" si="355">AH76-AH74</f>
        <v>7.1820000000000022</v>
      </c>
      <c r="AK76">
        <f t="shared" si="355"/>
        <v>188150</v>
      </c>
      <c r="AL76">
        <f t="shared" ref="AL76" si="356">AK76/AJ76</f>
        <v>26197.438039543296</v>
      </c>
    </row>
    <row r="77" spans="2:41" x14ac:dyDescent="0.2">
      <c r="B77" s="10"/>
      <c r="D77" t="s">
        <v>2</v>
      </c>
      <c r="E77">
        <v>108.477</v>
      </c>
      <c r="F77">
        <v>510.392</v>
      </c>
      <c r="G77">
        <v>181</v>
      </c>
      <c r="H77">
        <v>1400</v>
      </c>
      <c r="I77">
        <v>55365.773000000001</v>
      </c>
      <c r="J77">
        <v>2096692</v>
      </c>
      <c r="L77">
        <f t="shared" ref="L77" si="357">E77-E76</f>
        <v>56.061000000000007</v>
      </c>
      <c r="M77">
        <f t="shared" ref="M77" si="358">J77-J75</f>
        <v>1034267</v>
      </c>
      <c r="N77">
        <f t="shared" ref="N77" si="359">M77/L77</f>
        <v>18448.957385704856</v>
      </c>
      <c r="S77" s="2" t="s">
        <v>12</v>
      </c>
      <c r="U77" t="s">
        <v>1</v>
      </c>
      <c r="V77">
        <v>36.281999999999996</v>
      </c>
      <c r="W77">
        <v>1065751</v>
      </c>
      <c r="AA77">
        <f t="shared" ref="AA77" si="360">W77/V77</f>
        <v>29374.097348547493</v>
      </c>
      <c r="AE77" s="1" t="s">
        <v>10</v>
      </c>
      <c r="AG77" t="s">
        <v>1</v>
      </c>
      <c r="AH77">
        <v>22.841000000000001</v>
      </c>
      <c r="AI77">
        <v>559593</v>
      </c>
      <c r="AM77">
        <f t="shared" ref="AM77" si="361">AI77/AH77</f>
        <v>24499.496519416836</v>
      </c>
    </row>
    <row r="78" spans="2:41" x14ac:dyDescent="0.2">
      <c r="B78" s="10" t="s">
        <v>10</v>
      </c>
      <c r="D78" t="s">
        <v>1</v>
      </c>
      <c r="E78">
        <v>20.254000000000001</v>
      </c>
      <c r="F78">
        <v>520.52200000000005</v>
      </c>
      <c r="G78">
        <v>279</v>
      </c>
      <c r="H78">
        <v>964</v>
      </c>
      <c r="I78">
        <v>10542.431</v>
      </c>
      <c r="J78">
        <v>399240</v>
      </c>
      <c r="O78">
        <f t="shared" ref="O78" si="362">J78/E78</f>
        <v>19711.661893946872</v>
      </c>
      <c r="S78" s="2"/>
      <c r="U78" t="s">
        <v>3</v>
      </c>
      <c r="V78">
        <v>36.281999999999996</v>
      </c>
      <c r="W78">
        <v>1543386</v>
      </c>
      <c r="AB78">
        <f t="shared" ref="AB78" si="363">AA77/Z79</f>
        <v>0.89576458276102644</v>
      </c>
      <c r="AC78">
        <f t="shared" ref="AC78" si="364">AB78/1.05802901</f>
        <v>0.84663518135577998</v>
      </c>
      <c r="AE78" s="1"/>
      <c r="AG78" t="s">
        <v>3</v>
      </c>
      <c r="AH78">
        <v>22.841000000000001</v>
      </c>
      <c r="AI78">
        <v>263444</v>
      </c>
      <c r="AN78">
        <f t="shared" ref="AN78" si="365">AM77/AL79</f>
        <v>0.90755108816890551</v>
      </c>
      <c r="AO78">
        <f t="shared" ref="AO78" si="366">AN78/1.05802901</f>
        <v>0.85777524017881657</v>
      </c>
    </row>
    <row r="79" spans="2:41" x14ac:dyDescent="0.2">
      <c r="B79" s="10"/>
      <c r="D79" t="s">
        <v>3</v>
      </c>
      <c r="E79">
        <v>20.254000000000001</v>
      </c>
      <c r="F79">
        <v>269.49799999999999</v>
      </c>
      <c r="G79">
        <v>163</v>
      </c>
      <c r="H79">
        <v>455</v>
      </c>
      <c r="I79">
        <v>5458.3040000000001</v>
      </c>
      <c r="J79">
        <v>206705</v>
      </c>
      <c r="P79">
        <f t="shared" ref="P79" si="367">O78/N80</f>
        <v>1.0902381334953928</v>
      </c>
      <c r="S79" s="2"/>
      <c r="U79" t="s">
        <v>2</v>
      </c>
      <c r="V79">
        <v>59.969000000000001</v>
      </c>
      <c r="W79">
        <v>1842500</v>
      </c>
      <c r="X79">
        <f t="shared" ref="X79:Y79" si="368">V79-V77</f>
        <v>23.687000000000005</v>
      </c>
      <c r="Y79">
        <f t="shared" si="368"/>
        <v>776749</v>
      </c>
      <c r="Z79">
        <f t="shared" ref="Z79" si="369">Y79/X79</f>
        <v>32792.206695655841</v>
      </c>
      <c r="AE79" s="1"/>
      <c r="AG79" t="s">
        <v>2</v>
      </c>
      <c r="AH79">
        <v>31.952000000000002</v>
      </c>
      <c r="AI79">
        <v>805546</v>
      </c>
      <c r="AJ79">
        <f t="shared" ref="AJ79:AK79" si="370">AH79-AH77</f>
        <v>9.1110000000000007</v>
      </c>
      <c r="AK79">
        <f t="shared" si="370"/>
        <v>245953</v>
      </c>
      <c r="AL79">
        <f t="shared" ref="AL79" si="371">AK79/AJ79</f>
        <v>26995.170672813081</v>
      </c>
    </row>
    <row r="80" spans="2:41" x14ac:dyDescent="0.2">
      <c r="B80" s="10"/>
      <c r="D80" t="s">
        <v>2</v>
      </c>
      <c r="E80">
        <v>44.784999999999997</v>
      </c>
      <c r="F80">
        <v>496.91300000000001</v>
      </c>
      <c r="G80">
        <v>156</v>
      </c>
      <c r="H80">
        <v>969</v>
      </c>
      <c r="I80">
        <v>22254.237000000001</v>
      </c>
      <c r="J80">
        <v>842764</v>
      </c>
      <c r="L80">
        <f t="shared" ref="L80" si="372">E80-E79</f>
        <v>24.530999999999995</v>
      </c>
      <c r="M80">
        <f t="shared" ref="M80" si="373">J80-J78</f>
        <v>443524</v>
      </c>
      <c r="N80">
        <f t="shared" ref="N80" si="374">M80/L80</f>
        <v>18080.143491908202</v>
      </c>
      <c r="S80" s="2" t="s">
        <v>12</v>
      </c>
      <c r="U80" t="s">
        <v>1</v>
      </c>
      <c r="V80">
        <v>34.487000000000002</v>
      </c>
      <c r="W80">
        <v>771147</v>
      </c>
      <c r="AA80">
        <f t="shared" ref="AA80" si="375">W80/V80</f>
        <v>22360.512656943196</v>
      </c>
      <c r="AE80" s="10" t="s">
        <v>10</v>
      </c>
      <c r="AG80" t="s">
        <v>1</v>
      </c>
      <c r="AH80">
        <v>21.414999999999999</v>
      </c>
      <c r="AI80">
        <v>355870</v>
      </c>
      <c r="AM80">
        <f t="shared" ref="AM80" si="376">AI80/AH80</f>
        <v>16617.791267802942</v>
      </c>
    </row>
    <row r="81" spans="1:41" x14ac:dyDescent="0.2">
      <c r="B81" s="10" t="s">
        <v>10</v>
      </c>
      <c r="D81" t="s">
        <v>1</v>
      </c>
      <c r="E81">
        <v>24.847999999999999</v>
      </c>
      <c r="F81">
        <v>424.49900000000002</v>
      </c>
      <c r="G81">
        <v>211</v>
      </c>
      <c r="H81">
        <v>1353</v>
      </c>
      <c r="I81">
        <v>10548.082</v>
      </c>
      <c r="J81">
        <v>399454</v>
      </c>
      <c r="O81">
        <f t="shared" ref="O81" si="377">J81/E81</f>
        <v>16075.901481004508</v>
      </c>
      <c r="S81" s="2"/>
      <c r="U81" t="s">
        <v>3</v>
      </c>
      <c r="V81">
        <v>34.487000000000002</v>
      </c>
      <c r="W81">
        <v>708380</v>
      </c>
      <c r="AB81">
        <f t="shared" ref="AB81" si="378">AA80/Z82</f>
        <v>1.3304861927854132</v>
      </c>
      <c r="AC81">
        <f t="shared" ref="AC81" si="379">AB81/1.05802901</f>
        <v>1.257513905772218</v>
      </c>
      <c r="AE81" s="10"/>
      <c r="AG81" t="s">
        <v>3</v>
      </c>
      <c r="AH81">
        <v>21.414999999999999</v>
      </c>
      <c r="AI81">
        <v>179691</v>
      </c>
      <c r="AN81">
        <f t="shared" ref="AN81" si="380">AM80/AL82</f>
        <v>0.9946839585170385</v>
      </c>
      <c r="AO81">
        <f t="shared" ref="AO81" si="381">AN81/1.05802901</f>
        <v>0.9401291922203896</v>
      </c>
    </row>
    <row r="82" spans="1:41" x14ac:dyDescent="0.2">
      <c r="B82" s="10"/>
      <c r="D82" t="s">
        <v>3</v>
      </c>
      <c r="E82">
        <v>24.847999999999999</v>
      </c>
      <c r="F82">
        <v>408.52199999999999</v>
      </c>
      <c r="G82">
        <v>250</v>
      </c>
      <c r="H82">
        <v>685</v>
      </c>
      <c r="I82">
        <v>10151.064</v>
      </c>
      <c r="J82">
        <v>384419</v>
      </c>
      <c r="P82">
        <f t="shared" ref="P82" si="382">O81/N83</f>
        <v>0.83600636365952319</v>
      </c>
      <c r="S82" s="2"/>
      <c r="U82" t="s">
        <v>2</v>
      </c>
      <c r="V82">
        <v>69.66</v>
      </c>
      <c r="W82">
        <v>1362274</v>
      </c>
      <c r="X82">
        <f t="shared" ref="X82:Y82" si="383">V82-V80</f>
        <v>35.172999999999995</v>
      </c>
      <c r="Y82">
        <f t="shared" si="383"/>
        <v>591127</v>
      </c>
      <c r="Z82">
        <f t="shared" ref="Z82" si="384">Y82/X82</f>
        <v>16806.271856253377</v>
      </c>
      <c r="AE82" s="10"/>
      <c r="AG82" t="s">
        <v>2</v>
      </c>
      <c r="AH82">
        <v>42.356000000000002</v>
      </c>
      <c r="AI82">
        <v>705723</v>
      </c>
      <c r="AJ82">
        <f t="shared" ref="AJ82:AK82" si="385">AH82-AH80</f>
        <v>20.941000000000003</v>
      </c>
      <c r="AK82">
        <f t="shared" si="385"/>
        <v>349853</v>
      </c>
      <c r="AL82">
        <f t="shared" ref="AL82" si="386">AK82/AJ82</f>
        <v>16706.604269137097</v>
      </c>
    </row>
    <row r="83" spans="1:41" x14ac:dyDescent="0.2">
      <c r="B83" s="10"/>
      <c r="D83" t="s">
        <v>2</v>
      </c>
      <c r="E83">
        <v>43.173999999999999</v>
      </c>
      <c r="F83">
        <v>459.84800000000001</v>
      </c>
      <c r="G83">
        <v>211</v>
      </c>
      <c r="H83">
        <v>1570</v>
      </c>
      <c r="I83">
        <v>19853.592000000001</v>
      </c>
      <c r="J83">
        <v>751852</v>
      </c>
      <c r="L83">
        <f t="shared" ref="L83" si="387">E83-E82</f>
        <v>18.326000000000001</v>
      </c>
      <c r="M83">
        <f t="shared" ref="M83" si="388">J83-J81</f>
        <v>352398</v>
      </c>
      <c r="N83">
        <f t="shared" ref="N83" si="389">M83/L83</f>
        <v>19229.400851249589</v>
      </c>
      <c r="S83" s="2" t="s">
        <v>12</v>
      </c>
      <c r="U83" t="s">
        <v>1</v>
      </c>
      <c r="V83">
        <v>41.378999999999998</v>
      </c>
      <c r="W83">
        <v>1078255</v>
      </c>
      <c r="AA83">
        <f t="shared" ref="AA83" si="390">W83/V83</f>
        <v>26058.024601851183</v>
      </c>
      <c r="AE83" s="10" t="s">
        <v>10</v>
      </c>
      <c r="AG83" t="s">
        <v>1</v>
      </c>
      <c r="AH83">
        <v>42.856999999999999</v>
      </c>
      <c r="AI83">
        <v>936941</v>
      </c>
      <c r="AM83">
        <f t="shared" ref="AM83" si="391">AI83/AH83</f>
        <v>21862.029540098469</v>
      </c>
    </row>
    <row r="84" spans="1:41" x14ac:dyDescent="0.2">
      <c r="B84" s="10" t="s">
        <v>10</v>
      </c>
      <c r="D84" t="s">
        <v>1</v>
      </c>
      <c r="E84">
        <v>33.378</v>
      </c>
      <c r="F84">
        <v>698.38900000000001</v>
      </c>
      <c r="G84">
        <v>316</v>
      </c>
      <c r="H84">
        <v>1257</v>
      </c>
      <c r="I84">
        <v>23310.487000000001</v>
      </c>
      <c r="J84">
        <v>882764</v>
      </c>
      <c r="O84">
        <f t="shared" ref="O84" si="392">J84/E84</f>
        <v>26447.480376295764</v>
      </c>
      <c r="S84" s="2"/>
      <c r="U84" t="s">
        <v>3</v>
      </c>
      <c r="V84">
        <v>41.378999999999998</v>
      </c>
      <c r="W84">
        <v>681133</v>
      </c>
      <c r="AB84">
        <f t="shared" ref="AB84" si="393">AA83/Z85</f>
        <v>1.3965784426520722</v>
      </c>
      <c r="AC84">
        <f t="shared" ref="AC84" si="394">AB84/1.05802901</f>
        <v>1.3199812381818077</v>
      </c>
      <c r="AE84" s="10"/>
      <c r="AG84" t="s">
        <v>3</v>
      </c>
      <c r="AH84">
        <v>42.856999999999999</v>
      </c>
      <c r="AI84">
        <v>377181</v>
      </c>
      <c r="AN84">
        <f t="shared" ref="AN84" si="395">AM83/AL85</f>
        <v>1.0232584459800906</v>
      </c>
      <c r="AO84">
        <f t="shared" ref="AO84" si="396">AN84/1.05802901</f>
        <v>0.96713647386671431</v>
      </c>
    </row>
    <row r="85" spans="1:41" x14ac:dyDescent="0.2">
      <c r="B85" s="10"/>
      <c r="D85" t="s">
        <v>3</v>
      </c>
      <c r="E85">
        <v>33.378</v>
      </c>
      <c r="F85">
        <v>334.72899999999998</v>
      </c>
      <c r="G85">
        <v>204</v>
      </c>
      <c r="H85">
        <v>767</v>
      </c>
      <c r="I85">
        <v>11172.432000000001</v>
      </c>
      <c r="J85">
        <v>423098</v>
      </c>
      <c r="P85">
        <f t="shared" ref="P85" si="397">O84/N86</f>
        <v>1.0997150032428558</v>
      </c>
      <c r="S85" s="2"/>
      <c r="U85" t="s">
        <v>2</v>
      </c>
      <c r="V85">
        <v>55.744</v>
      </c>
      <c r="W85">
        <v>1346284</v>
      </c>
      <c r="X85">
        <f t="shared" ref="X85:Y85" si="398">V85-V83</f>
        <v>14.365000000000002</v>
      </c>
      <c r="Y85">
        <f t="shared" si="398"/>
        <v>268029</v>
      </c>
      <c r="Z85">
        <f t="shared" ref="Z85" si="399">Y85/X85</f>
        <v>18658.475461190392</v>
      </c>
      <c r="AE85" s="10"/>
      <c r="AG85" t="s">
        <v>2</v>
      </c>
      <c r="AH85">
        <v>85.477000000000004</v>
      </c>
      <c r="AI85">
        <v>1847522</v>
      </c>
      <c r="AJ85">
        <f t="shared" ref="AJ85:AK85" si="400">AH85-AH83</f>
        <v>42.620000000000005</v>
      </c>
      <c r="AK85">
        <f t="shared" si="400"/>
        <v>910581</v>
      </c>
      <c r="AL85">
        <f t="shared" ref="AL85" si="401">AK85/AJ85</f>
        <v>21365.110276865318</v>
      </c>
    </row>
    <row r="86" spans="1:41" x14ac:dyDescent="0.2">
      <c r="B86" s="10"/>
      <c r="D86" t="s">
        <v>2</v>
      </c>
      <c r="E86">
        <v>62.793999999999997</v>
      </c>
      <c r="F86">
        <v>668.71400000000006</v>
      </c>
      <c r="G86">
        <v>280</v>
      </c>
      <c r="H86">
        <v>1547</v>
      </c>
      <c r="I86">
        <v>41991.245000000003</v>
      </c>
      <c r="J86">
        <v>1590201</v>
      </c>
      <c r="L86">
        <f t="shared" ref="L86" si="402">E86-E85</f>
        <v>29.415999999999997</v>
      </c>
      <c r="M86">
        <f t="shared" ref="M86" si="403">J86-J84</f>
        <v>707437</v>
      </c>
      <c r="N86">
        <f t="shared" ref="N86" si="404">M86/L86</f>
        <v>24049.394887136255</v>
      </c>
      <c r="S86" s="2" t="s">
        <v>12</v>
      </c>
      <c r="U86" t="s">
        <v>1</v>
      </c>
      <c r="V86">
        <v>21.125</v>
      </c>
      <c r="W86">
        <v>364468</v>
      </c>
      <c r="AA86">
        <f t="shared" ref="AA86" si="405">W86/V86</f>
        <v>17252.923076923078</v>
      </c>
      <c r="AE86" s="10" t="s">
        <v>10</v>
      </c>
      <c r="AG86" t="s">
        <v>1</v>
      </c>
      <c r="AH86">
        <v>26.248000000000001</v>
      </c>
      <c r="AI86">
        <v>682997</v>
      </c>
      <c r="AM86">
        <f t="shared" ref="AM86" si="406">AI86/AH86</f>
        <v>26020.915879305088</v>
      </c>
    </row>
    <row r="87" spans="1:41" x14ac:dyDescent="0.2">
      <c r="B87" s="2" t="s">
        <v>12</v>
      </c>
      <c r="D87" t="s">
        <v>1</v>
      </c>
      <c r="E87">
        <v>29.786000000000001</v>
      </c>
      <c r="F87">
        <v>601.04300000000001</v>
      </c>
      <c r="G87">
        <v>320</v>
      </c>
      <c r="H87">
        <v>1105</v>
      </c>
      <c r="I87">
        <v>17902.830000000002</v>
      </c>
      <c r="J87">
        <v>677977</v>
      </c>
      <c r="O87">
        <f t="shared" ref="O87" si="407">J87/E87</f>
        <v>22761.599409118378</v>
      </c>
      <c r="S87" s="2"/>
      <c r="U87" t="s">
        <v>3</v>
      </c>
      <c r="V87">
        <v>21.125</v>
      </c>
      <c r="W87">
        <v>356547</v>
      </c>
      <c r="AB87">
        <f t="shared" ref="AB87" si="408">AA86/Z88</f>
        <v>0.9244615348567099</v>
      </c>
      <c r="AC87">
        <f t="shared" ref="AC87" si="409">AB87/1.05802901</f>
        <v>0.87375821089887684</v>
      </c>
      <c r="AE87" s="10"/>
      <c r="AG87" t="s">
        <v>3</v>
      </c>
      <c r="AH87">
        <v>26.248000000000001</v>
      </c>
      <c r="AI87">
        <v>210269</v>
      </c>
      <c r="AN87">
        <f t="shared" ref="AN87" si="410">AM86/AL88</f>
        <v>1.2289400301508409</v>
      </c>
      <c r="AO87">
        <f t="shared" ref="AO87" si="411">AN87/1.05802901</f>
        <v>1.1615371776534187</v>
      </c>
    </row>
    <row r="88" spans="1:41" x14ac:dyDescent="0.2">
      <c r="B88" s="2"/>
      <c r="D88" t="s">
        <v>3</v>
      </c>
      <c r="E88">
        <v>29.786000000000001</v>
      </c>
      <c r="F88">
        <v>536.29300000000001</v>
      </c>
      <c r="G88">
        <v>212</v>
      </c>
      <c r="H88">
        <v>1115</v>
      </c>
      <c r="I88">
        <v>15974.17</v>
      </c>
      <c r="J88">
        <v>604939</v>
      </c>
      <c r="P88" s="4">
        <f t="shared" ref="P88" si="412">O87/N89</f>
        <v>1.1651793197565039</v>
      </c>
      <c r="S88" s="2"/>
      <c r="U88" t="s">
        <v>2</v>
      </c>
      <c r="V88">
        <v>55.427</v>
      </c>
      <c r="W88">
        <v>1004635</v>
      </c>
      <c r="X88">
        <f t="shared" ref="X88:Y88" si="413">V88-V86</f>
        <v>34.302</v>
      </c>
      <c r="Y88">
        <f t="shared" si="413"/>
        <v>640167</v>
      </c>
      <c r="Z88">
        <f t="shared" ref="Z88" si="414">Y88/X88</f>
        <v>18662.672730453036</v>
      </c>
      <c r="AE88" s="10"/>
      <c r="AG88" t="s">
        <v>2</v>
      </c>
      <c r="AH88">
        <v>47.584000000000003</v>
      </c>
      <c r="AI88">
        <v>1134754</v>
      </c>
      <c r="AJ88">
        <f t="shared" ref="AJ88:AK88" si="415">AH88-AH86</f>
        <v>21.336000000000002</v>
      </c>
      <c r="AK88">
        <f t="shared" si="415"/>
        <v>451757</v>
      </c>
      <c r="AL88">
        <f t="shared" ref="AL88" si="416">AK88/AJ88</f>
        <v>21173.462692163477</v>
      </c>
    </row>
    <row r="89" spans="1:41" x14ac:dyDescent="0.2">
      <c r="B89" s="2"/>
      <c r="D89" t="s">
        <v>2</v>
      </c>
      <c r="E89">
        <v>67.494</v>
      </c>
      <c r="F89">
        <v>553.44200000000001</v>
      </c>
      <c r="G89">
        <v>253</v>
      </c>
      <c r="H89">
        <v>1203</v>
      </c>
      <c r="I89">
        <v>37354.201999999997</v>
      </c>
      <c r="J89">
        <v>1414597</v>
      </c>
      <c r="L89">
        <f t="shared" ref="L89" si="417">E89-E88</f>
        <v>37.707999999999998</v>
      </c>
      <c r="M89">
        <f t="shared" ref="M89" si="418">J89-J87</f>
        <v>736620</v>
      </c>
      <c r="N89">
        <f t="shared" ref="N89" si="419">M89/L89</f>
        <v>19534.846716877055</v>
      </c>
      <c r="S89" s="2" t="s">
        <v>12</v>
      </c>
      <c r="U89" t="s">
        <v>1</v>
      </c>
      <c r="V89">
        <v>19.382000000000001</v>
      </c>
      <c r="W89">
        <v>333049</v>
      </c>
      <c r="AA89">
        <f t="shared" ref="AA89" si="420">W89/V89</f>
        <v>17183.41760396244</v>
      </c>
      <c r="AE89" s="10" t="s">
        <v>10</v>
      </c>
      <c r="AG89" t="s">
        <v>1</v>
      </c>
      <c r="AH89">
        <v>36.731000000000002</v>
      </c>
      <c r="AI89">
        <v>874117</v>
      </c>
      <c r="AM89">
        <f t="shared" ref="AM89" si="421">AI89/AH89</f>
        <v>23797.800223244671</v>
      </c>
    </row>
    <row r="90" spans="1:41" x14ac:dyDescent="0.2">
      <c r="B90" s="2" t="s">
        <v>12</v>
      </c>
      <c r="D90" t="s">
        <v>1</v>
      </c>
      <c r="E90">
        <v>37.918999999999997</v>
      </c>
      <c r="F90">
        <v>747.41600000000005</v>
      </c>
      <c r="G90">
        <v>382</v>
      </c>
      <c r="H90">
        <v>1400</v>
      </c>
      <c r="I90">
        <v>28341.538</v>
      </c>
      <c r="J90">
        <v>1073289</v>
      </c>
      <c r="O90">
        <f t="shared" ref="O90" si="422">J90/E90</f>
        <v>28304.781244231126</v>
      </c>
      <c r="S90" s="2"/>
      <c r="U90" t="s">
        <v>3</v>
      </c>
      <c r="V90">
        <v>19.382000000000001</v>
      </c>
      <c r="W90">
        <v>381814</v>
      </c>
      <c r="AB90">
        <f t="shared" ref="AB90" si="423">AA89/Z91</f>
        <v>1.1749732116292946</v>
      </c>
      <c r="AC90">
        <f t="shared" ref="AC90" si="424">AB90/1.05802901</f>
        <v>1.110530241159734</v>
      </c>
      <c r="AE90" s="10"/>
      <c r="AG90" t="s">
        <v>3</v>
      </c>
      <c r="AH90">
        <v>36.731000000000002</v>
      </c>
      <c r="AI90">
        <v>330274</v>
      </c>
      <c r="AN90">
        <f t="shared" ref="AN90" si="425">AM89/AL91</f>
        <v>0.86805184728678231</v>
      </c>
      <c r="AO90">
        <f t="shared" ref="AO90" si="426">AN90/1.05802901</f>
        <v>0.82044238776286693</v>
      </c>
    </row>
    <row r="91" spans="1:41" x14ac:dyDescent="0.2">
      <c r="B91" s="2"/>
      <c r="D91" t="s">
        <v>3</v>
      </c>
      <c r="E91">
        <v>37.918999999999997</v>
      </c>
      <c r="F91">
        <v>562.57500000000005</v>
      </c>
      <c r="G91">
        <v>267</v>
      </c>
      <c r="H91">
        <v>1395</v>
      </c>
      <c r="I91">
        <v>21332.5</v>
      </c>
      <c r="J91">
        <v>807858</v>
      </c>
      <c r="P91" s="4">
        <f t="shared" ref="P91" si="427">O90/N92</f>
        <v>0.94453020356326056</v>
      </c>
      <c r="S91" s="2"/>
      <c r="U91" t="s">
        <v>2</v>
      </c>
      <c r="V91">
        <v>31.846</v>
      </c>
      <c r="W91">
        <v>515329</v>
      </c>
      <c r="X91">
        <f t="shared" ref="X91:Y91" si="428">V91-V89</f>
        <v>12.463999999999999</v>
      </c>
      <c r="Y91">
        <f t="shared" si="428"/>
        <v>182280</v>
      </c>
      <c r="Z91">
        <f t="shared" ref="Z91" si="429">Y91/X91</f>
        <v>14624.51861360719</v>
      </c>
      <c r="AE91" s="10"/>
      <c r="AG91" t="s">
        <v>2</v>
      </c>
      <c r="AH91">
        <v>53.973999999999997</v>
      </c>
      <c r="AI91">
        <v>1346837</v>
      </c>
      <c r="AJ91">
        <f t="shared" ref="AJ91:AK91" si="430">AH91-AH89</f>
        <v>17.242999999999995</v>
      </c>
      <c r="AK91">
        <f t="shared" si="430"/>
        <v>472720</v>
      </c>
      <c r="AL91">
        <f t="shared" ref="AL91" si="431">AK91/AJ91</f>
        <v>27415.182972800565</v>
      </c>
    </row>
    <row r="92" spans="1:41" x14ac:dyDescent="0.2">
      <c r="B92" s="2"/>
      <c r="D92" t="s">
        <v>2</v>
      </c>
      <c r="E92">
        <v>62.53</v>
      </c>
      <c r="F92">
        <v>764.69899999999996</v>
      </c>
      <c r="G92">
        <v>362</v>
      </c>
      <c r="H92">
        <v>1814</v>
      </c>
      <c r="I92">
        <v>47816.648999999998</v>
      </c>
      <c r="J92">
        <v>1810808</v>
      </c>
      <c r="L92">
        <f t="shared" ref="L92" si="432">E92-E91</f>
        <v>24.611000000000004</v>
      </c>
      <c r="M92">
        <f t="shared" ref="M92" si="433">J92-J90</f>
        <v>737519</v>
      </c>
      <c r="N92">
        <f t="shared" ref="N92" si="434">M92/L92</f>
        <v>29967.047255292342</v>
      </c>
      <c r="S92" s="2" t="s">
        <v>12</v>
      </c>
      <c r="U92" t="s">
        <v>1</v>
      </c>
      <c r="V92">
        <v>21.495000000000001</v>
      </c>
      <c r="W92">
        <v>515088</v>
      </c>
      <c r="AA92">
        <f t="shared" ref="AA92" si="435">W92/V92</f>
        <v>23963.154221912071</v>
      </c>
      <c r="AE92" s="10" t="s">
        <v>10</v>
      </c>
      <c r="AG92" t="s">
        <v>1</v>
      </c>
      <c r="AH92">
        <v>37.972000000000001</v>
      </c>
      <c r="AI92">
        <v>1044487</v>
      </c>
      <c r="AM92">
        <f t="shared" ref="AM92" si="436">AI92/AH92</f>
        <v>27506.76814494891</v>
      </c>
    </row>
    <row r="93" spans="1:41" x14ac:dyDescent="0.2">
      <c r="A93" t="s">
        <v>15</v>
      </c>
      <c r="B93" s="10" t="s">
        <v>10</v>
      </c>
      <c r="D93" t="s">
        <v>1</v>
      </c>
      <c r="E93">
        <v>42.936999999999998</v>
      </c>
      <c r="F93">
        <v>367.12599999999998</v>
      </c>
      <c r="G93">
        <v>217</v>
      </c>
      <c r="H93">
        <v>671</v>
      </c>
      <c r="I93">
        <v>15763.132</v>
      </c>
      <c r="J93">
        <v>596947</v>
      </c>
      <c r="O93">
        <f t="shared" ref="O93" si="437">J93/E93</f>
        <v>13902.857675198547</v>
      </c>
      <c r="S93" s="2"/>
      <c r="U93" t="s">
        <v>3</v>
      </c>
      <c r="V93">
        <v>21.495000000000001</v>
      </c>
      <c r="W93">
        <v>452969</v>
      </c>
      <c r="AB93">
        <f t="shared" ref="AB93" si="438">AA92/Z94</f>
        <v>0.89147750833718675</v>
      </c>
      <c r="AC93">
        <f t="shared" ref="AC93" si="439">AB93/1.05802901</f>
        <v>0.84258323723768846</v>
      </c>
      <c r="AE93" s="10"/>
      <c r="AG93" t="s">
        <v>3</v>
      </c>
      <c r="AH93">
        <v>37.972000000000001</v>
      </c>
      <c r="AI93">
        <v>369653</v>
      </c>
      <c r="AN93">
        <f t="shared" ref="AN93" si="440">AM92/AL94</f>
        <v>1.0648179111401253</v>
      </c>
      <c r="AO93">
        <f t="shared" ref="AO93" si="441">AN93/1.05802901</f>
        <v>1.0064165548165123</v>
      </c>
    </row>
    <row r="94" spans="1:41" x14ac:dyDescent="0.2">
      <c r="B94" s="10"/>
      <c r="D94" t="s">
        <v>3</v>
      </c>
      <c r="E94">
        <v>42.936999999999998</v>
      </c>
      <c r="F94">
        <v>186.822</v>
      </c>
      <c r="G94">
        <v>130</v>
      </c>
      <c r="H94">
        <v>300</v>
      </c>
      <c r="I94">
        <v>8021.4790000000003</v>
      </c>
      <c r="J94">
        <v>303772</v>
      </c>
      <c r="P94">
        <f t="shared" ref="P94" si="442">O93/N95</f>
        <v>0.69665815335387438</v>
      </c>
      <c r="S94" s="2"/>
      <c r="U94" t="s">
        <v>2</v>
      </c>
      <c r="V94">
        <v>38.817</v>
      </c>
      <c r="W94">
        <v>980708</v>
      </c>
      <c r="X94">
        <f t="shared" ref="X94:Y94" si="443">V94-V92</f>
        <v>17.321999999999999</v>
      </c>
      <c r="Y94">
        <f t="shared" si="443"/>
        <v>465620</v>
      </c>
      <c r="Z94">
        <f t="shared" ref="Z94" si="444">Y94/X94</f>
        <v>26880.267867451796</v>
      </c>
      <c r="AE94" s="10"/>
      <c r="AG94" t="s">
        <v>2</v>
      </c>
      <c r="AH94">
        <v>55.927999999999997</v>
      </c>
      <c r="AI94">
        <v>1508333</v>
      </c>
      <c r="AJ94">
        <f t="shared" ref="AJ94:AK94" si="445">AH94-AH92</f>
        <v>17.955999999999996</v>
      </c>
      <c r="AK94">
        <f t="shared" si="445"/>
        <v>463846</v>
      </c>
      <c r="AL94">
        <f t="shared" ref="AL94" si="446">AK94/AJ94</f>
        <v>25832.368010692811</v>
      </c>
    </row>
    <row r="95" spans="1:41" x14ac:dyDescent="0.2">
      <c r="B95" s="10"/>
      <c r="D95" t="s">
        <v>2</v>
      </c>
      <c r="E95">
        <v>77.212000000000003</v>
      </c>
      <c r="F95">
        <v>438.08300000000003</v>
      </c>
      <c r="G95">
        <v>217</v>
      </c>
      <c r="H95">
        <v>904</v>
      </c>
      <c r="I95">
        <v>33825.243999999999</v>
      </c>
      <c r="J95">
        <v>1280956</v>
      </c>
      <c r="L95">
        <f t="shared" ref="L95" si="447">E95-E94</f>
        <v>34.275000000000006</v>
      </c>
      <c r="M95">
        <f t="shared" ref="M95" si="448">J95-J93</f>
        <v>684009</v>
      </c>
      <c r="N95">
        <f t="shared" ref="N95" si="449">M95/L95</f>
        <v>19956.498905908094</v>
      </c>
      <c r="S95" s="2" t="s">
        <v>12</v>
      </c>
      <c r="U95" t="s">
        <v>1</v>
      </c>
      <c r="V95">
        <v>30.498999999999999</v>
      </c>
      <c r="W95">
        <v>1034333</v>
      </c>
      <c r="AA95">
        <f t="shared" ref="AA95" si="450">W95/V95</f>
        <v>33913.669300632806</v>
      </c>
      <c r="AE95" s="10" t="s">
        <v>10</v>
      </c>
      <c r="AG95" t="s">
        <v>1</v>
      </c>
      <c r="AH95">
        <v>24.928000000000001</v>
      </c>
      <c r="AI95">
        <v>472570</v>
      </c>
      <c r="AM95">
        <f t="shared" ref="AM95" si="451">AI95/AH95</f>
        <v>18957.397304236201</v>
      </c>
    </row>
    <row r="96" spans="1:41" x14ac:dyDescent="0.2">
      <c r="B96" s="10" t="s">
        <v>10</v>
      </c>
      <c r="D96" t="s">
        <v>1</v>
      </c>
      <c r="E96">
        <v>38.314999999999998</v>
      </c>
      <c r="F96">
        <v>325.274</v>
      </c>
      <c r="G96">
        <v>172</v>
      </c>
      <c r="H96">
        <v>744</v>
      </c>
      <c r="I96">
        <v>12463.037</v>
      </c>
      <c r="J96">
        <v>471973</v>
      </c>
      <c r="O96">
        <f t="shared" ref="O96" si="452">J96/E96</f>
        <v>12318.230458045153</v>
      </c>
      <c r="S96" s="2"/>
      <c r="U96" t="s">
        <v>3</v>
      </c>
      <c r="V96">
        <v>30.498999999999999</v>
      </c>
      <c r="W96">
        <v>969642</v>
      </c>
      <c r="AB96">
        <f t="shared" ref="AB96" si="453">AA95/Z97</f>
        <v>1.2872323386365041</v>
      </c>
      <c r="AC96">
        <f t="shared" ref="AC96" si="454">AB96/1.05802901</f>
        <v>1.2166323668540091</v>
      </c>
      <c r="AE96" s="10"/>
      <c r="AG96" t="s">
        <v>3</v>
      </c>
      <c r="AH96">
        <v>24.928000000000001</v>
      </c>
      <c r="AI96">
        <v>214844</v>
      </c>
      <c r="AN96">
        <f t="shared" ref="AN96" si="455">AM95/AL97</f>
        <v>1.0063516732427538</v>
      </c>
      <c r="AO96">
        <f t="shared" ref="AO96" si="456">AN96/1.05802901</f>
        <v>0.95115697559441559</v>
      </c>
    </row>
    <row r="97" spans="2:41" x14ac:dyDescent="0.2">
      <c r="B97" s="10"/>
      <c r="D97" t="s">
        <v>3</v>
      </c>
      <c r="E97">
        <v>38.314999999999998</v>
      </c>
      <c r="F97">
        <v>231.76599999999999</v>
      </c>
      <c r="G97">
        <v>151</v>
      </c>
      <c r="H97">
        <v>454</v>
      </c>
      <c r="I97">
        <v>8880.2109999999993</v>
      </c>
      <c r="J97">
        <v>336292</v>
      </c>
      <c r="P97">
        <f t="shared" ref="P97" si="457">O96/N98</f>
        <v>0.91804485321765694</v>
      </c>
      <c r="S97" s="2"/>
      <c r="U97" t="s">
        <v>2</v>
      </c>
      <c r="V97">
        <v>41.828000000000003</v>
      </c>
      <c r="W97">
        <v>1332809</v>
      </c>
      <c r="X97">
        <f t="shared" ref="X97:Y97" si="458">V97-V95</f>
        <v>11.329000000000004</v>
      </c>
      <c r="Y97">
        <f t="shared" si="458"/>
        <v>298476</v>
      </c>
      <c r="Z97">
        <f t="shared" ref="Z97" si="459">Y97/X97</f>
        <v>26346.191190749396</v>
      </c>
      <c r="AE97" s="10"/>
      <c r="AG97" t="s">
        <v>2</v>
      </c>
      <c r="AH97">
        <v>58.807000000000002</v>
      </c>
      <c r="AI97">
        <v>1110774</v>
      </c>
      <c r="AJ97">
        <f t="shared" ref="AJ97:AK97" si="460">AH97-AH95</f>
        <v>33.879000000000005</v>
      </c>
      <c r="AK97">
        <f t="shared" si="460"/>
        <v>638204</v>
      </c>
      <c r="AL97">
        <f t="shared" ref="AL97" si="461">AK97/AJ97</f>
        <v>18837.746096401897</v>
      </c>
    </row>
    <row r="98" spans="2:41" x14ac:dyDescent="0.2">
      <c r="B98" s="10"/>
      <c r="D98" t="s">
        <v>2</v>
      </c>
      <c r="E98">
        <v>59.124000000000002</v>
      </c>
      <c r="F98">
        <v>335.50099999999998</v>
      </c>
      <c r="G98">
        <v>172</v>
      </c>
      <c r="H98">
        <v>744</v>
      </c>
      <c r="I98">
        <v>19836.005000000001</v>
      </c>
      <c r="J98">
        <v>751186</v>
      </c>
      <c r="L98">
        <f t="shared" ref="L98" si="462">E98-E97</f>
        <v>20.809000000000005</v>
      </c>
      <c r="M98">
        <f t="shared" ref="M98" si="463">J98-J96</f>
        <v>279213</v>
      </c>
      <c r="N98">
        <f t="shared" ref="N98" si="464">M98/L98</f>
        <v>13417.89610264789</v>
      </c>
      <c r="S98" s="2" t="s">
        <v>12</v>
      </c>
      <c r="U98" t="s">
        <v>1</v>
      </c>
      <c r="V98">
        <v>21.388999999999999</v>
      </c>
      <c r="W98">
        <v>482020</v>
      </c>
      <c r="AA98">
        <f t="shared" ref="AA98" si="465">W98/V98</f>
        <v>22535.882930478285</v>
      </c>
      <c r="AE98" s="10" t="s">
        <v>10</v>
      </c>
      <c r="AG98" t="s">
        <v>1</v>
      </c>
      <c r="AH98">
        <v>36.915999999999997</v>
      </c>
      <c r="AI98">
        <v>725148</v>
      </c>
      <c r="AM98">
        <f t="shared" ref="AM98" si="466">AI98/AH98</f>
        <v>19643.18994473941</v>
      </c>
    </row>
    <row r="99" spans="2:41" x14ac:dyDescent="0.2">
      <c r="B99" s="10" t="s">
        <v>10</v>
      </c>
      <c r="D99" t="s">
        <v>1</v>
      </c>
      <c r="E99">
        <v>27.594999999999999</v>
      </c>
      <c r="F99">
        <v>445.45499999999998</v>
      </c>
      <c r="G99">
        <v>194</v>
      </c>
      <c r="H99">
        <v>1089</v>
      </c>
      <c r="I99">
        <v>12292.109</v>
      </c>
      <c r="J99">
        <v>465500</v>
      </c>
      <c r="O99">
        <f t="shared" ref="O99" si="467">J99/E99</f>
        <v>16868.998006885307</v>
      </c>
      <c r="S99" s="2"/>
      <c r="U99" t="s">
        <v>3</v>
      </c>
      <c r="V99">
        <v>21.388999999999999</v>
      </c>
      <c r="W99">
        <v>979044</v>
      </c>
      <c r="AB99">
        <f t="shared" ref="AB99" si="468">AA98/Z100</f>
        <v>0.95561483265332314</v>
      </c>
      <c r="AC99">
        <f t="shared" ref="AC99" si="469">AB99/1.05802901</f>
        <v>0.90320286459189159</v>
      </c>
      <c r="AE99" s="10"/>
      <c r="AG99" t="s">
        <v>3</v>
      </c>
      <c r="AH99">
        <v>36.915999999999997</v>
      </c>
      <c r="AI99">
        <v>329108</v>
      </c>
      <c r="AN99">
        <f t="shared" ref="AN99" si="470">AM98/AL100</f>
        <v>0.93822624060282589</v>
      </c>
      <c r="AO99">
        <f t="shared" ref="AO99" si="471">AN99/1.05802901</f>
        <v>0.88676797302828758</v>
      </c>
    </row>
    <row r="100" spans="2:41" x14ac:dyDescent="0.2">
      <c r="B100" s="10"/>
      <c r="D100" t="s">
        <v>3</v>
      </c>
      <c r="E100">
        <v>27.594999999999999</v>
      </c>
      <c r="F100">
        <v>251.42099999999999</v>
      </c>
      <c r="G100">
        <v>159</v>
      </c>
      <c r="H100">
        <v>418</v>
      </c>
      <c r="I100">
        <v>6937.8459999999995</v>
      </c>
      <c r="J100">
        <v>262735</v>
      </c>
      <c r="P100" s="7">
        <f t="shared" ref="P100" si="472">O99/N101</f>
        <v>1.3389345182460233</v>
      </c>
      <c r="S100" s="2"/>
      <c r="U100" t="s">
        <v>2</v>
      </c>
      <c r="V100">
        <v>42.884</v>
      </c>
      <c r="W100">
        <v>988928</v>
      </c>
      <c r="X100">
        <f t="shared" ref="X100:Y100" si="473">V100-V98</f>
        <v>21.495000000000001</v>
      </c>
      <c r="Y100">
        <f t="shared" si="473"/>
        <v>506908</v>
      </c>
      <c r="Z100">
        <f t="shared" ref="Z100" si="474">Y100/X100</f>
        <v>23582.600604791813</v>
      </c>
      <c r="AE100" s="10"/>
      <c r="AG100" t="s">
        <v>2</v>
      </c>
      <c r="AH100">
        <v>48.746000000000002</v>
      </c>
      <c r="AI100">
        <v>972827</v>
      </c>
      <c r="AJ100">
        <f t="shared" ref="AJ100:AK100" si="475">AH100-AH98</f>
        <v>11.830000000000005</v>
      </c>
      <c r="AK100">
        <f t="shared" si="475"/>
        <v>247679</v>
      </c>
      <c r="AL100">
        <f t="shared" ref="AL100" si="476">AK100/AJ100</f>
        <v>20936.517328825012</v>
      </c>
    </row>
    <row r="101" spans="2:41" x14ac:dyDescent="0.2">
      <c r="B101" s="10"/>
      <c r="D101" t="s">
        <v>2</v>
      </c>
      <c r="E101">
        <v>57.143000000000001</v>
      </c>
      <c r="F101">
        <v>387.14</v>
      </c>
      <c r="G101">
        <v>170</v>
      </c>
      <c r="H101">
        <v>1089</v>
      </c>
      <c r="I101">
        <v>22122.364000000001</v>
      </c>
      <c r="J101">
        <v>837770</v>
      </c>
      <c r="L101">
        <f t="shared" ref="L101" si="477">E101-E100</f>
        <v>29.548000000000002</v>
      </c>
      <c r="M101">
        <f t="shared" ref="M101" si="478">J101-J99</f>
        <v>372270</v>
      </c>
      <c r="N101">
        <f t="shared" ref="N101" si="479">M101/L101</f>
        <v>12598.822255313387</v>
      </c>
      <c r="S101" s="2" t="s">
        <v>12</v>
      </c>
      <c r="U101" t="s">
        <v>1</v>
      </c>
      <c r="V101">
        <v>27.911000000000001</v>
      </c>
      <c r="W101">
        <v>399286</v>
      </c>
      <c r="AA101">
        <f t="shared" ref="AA101" si="480">W101/V101</f>
        <v>14305.685930278385</v>
      </c>
      <c r="AE101" s="1" t="s">
        <v>10</v>
      </c>
      <c r="AG101" t="s">
        <v>1</v>
      </c>
      <c r="AH101">
        <v>41.59</v>
      </c>
      <c r="AI101">
        <v>774763</v>
      </c>
      <c r="AM101">
        <f t="shared" ref="AM101" si="481">AI101/AH101</f>
        <v>18628.588603029573</v>
      </c>
    </row>
    <row r="102" spans="2:41" x14ac:dyDescent="0.2">
      <c r="B102" s="10" t="s">
        <v>10</v>
      </c>
      <c r="D102" t="s">
        <v>1</v>
      </c>
      <c r="E102">
        <v>26.116</v>
      </c>
      <c r="F102">
        <v>412.76600000000002</v>
      </c>
      <c r="G102">
        <v>155</v>
      </c>
      <c r="H102">
        <v>812</v>
      </c>
      <c r="I102">
        <v>10779.718000000001</v>
      </c>
      <c r="J102">
        <v>408226</v>
      </c>
      <c r="O102">
        <f t="shared" ref="O102" si="482">J102/E102</f>
        <v>15631.260529943331</v>
      </c>
      <c r="S102" s="2"/>
      <c r="U102" t="s">
        <v>3</v>
      </c>
      <c r="V102">
        <v>27.911000000000001</v>
      </c>
      <c r="W102">
        <v>516240</v>
      </c>
      <c r="AB102">
        <f t="shared" ref="AB102" si="483">AA101/Z103</f>
        <v>0.92205004467970142</v>
      </c>
      <c r="AC102">
        <f t="shared" ref="AC102" si="484">AB102/1.05802901</f>
        <v>0.87147898211193786</v>
      </c>
      <c r="AE102" s="1"/>
      <c r="AG102" t="s">
        <v>3</v>
      </c>
      <c r="AH102">
        <v>41.59</v>
      </c>
      <c r="AI102">
        <v>497803</v>
      </c>
      <c r="AN102">
        <f t="shared" ref="AN102" si="485">AM101/AL103</f>
        <v>0.81576520630918581</v>
      </c>
      <c r="AO102">
        <f t="shared" ref="AO102" si="486">AN102/1.05802901</f>
        <v>0.77102347723829023</v>
      </c>
    </row>
    <row r="103" spans="2:41" x14ac:dyDescent="0.2">
      <c r="B103" s="10"/>
      <c r="D103" t="s">
        <v>3</v>
      </c>
      <c r="E103">
        <v>26.116</v>
      </c>
      <c r="F103">
        <v>219.786</v>
      </c>
      <c r="G103">
        <v>141</v>
      </c>
      <c r="H103">
        <v>330</v>
      </c>
      <c r="I103">
        <v>5739.8739999999998</v>
      </c>
      <c r="J103">
        <v>217368</v>
      </c>
      <c r="P103">
        <f t="shared" ref="P103" si="487">O102/N104</f>
        <v>0.6910182728605202</v>
      </c>
      <c r="S103" s="2"/>
      <c r="U103" t="s">
        <v>2</v>
      </c>
      <c r="V103">
        <v>47.399000000000001</v>
      </c>
      <c r="W103">
        <v>701644</v>
      </c>
      <c r="X103">
        <f t="shared" ref="X103:Y103" si="488">V103-V101</f>
        <v>19.488</v>
      </c>
      <c r="Y103">
        <f t="shared" si="488"/>
        <v>302358</v>
      </c>
      <c r="Z103">
        <f t="shared" ref="Z103" si="489">Y103/X103</f>
        <v>15515.086206896553</v>
      </c>
      <c r="AE103" s="1"/>
      <c r="AG103" t="s">
        <v>2</v>
      </c>
      <c r="AH103">
        <v>60.417999999999999</v>
      </c>
      <c r="AI103">
        <v>1204714</v>
      </c>
      <c r="AJ103">
        <f t="shared" ref="AJ103:AK103" si="490">AH103-AH101</f>
        <v>18.827999999999996</v>
      </c>
      <c r="AK103">
        <f t="shared" si="490"/>
        <v>429951</v>
      </c>
      <c r="AL103">
        <f t="shared" ref="AL103" si="491">AK103/AJ103</f>
        <v>22835.723390694715</v>
      </c>
    </row>
    <row r="104" spans="2:41" x14ac:dyDescent="0.2">
      <c r="B104" s="10"/>
      <c r="D104" t="s">
        <v>2</v>
      </c>
      <c r="E104">
        <v>38.183</v>
      </c>
      <c r="F104">
        <v>471.08499999999998</v>
      </c>
      <c r="G104">
        <v>174</v>
      </c>
      <c r="H104">
        <v>1024</v>
      </c>
      <c r="I104">
        <v>17987.647000000001</v>
      </c>
      <c r="J104">
        <v>681189</v>
      </c>
      <c r="L104">
        <f t="shared" ref="L104" si="492">E104-E103</f>
        <v>12.067</v>
      </c>
      <c r="M104">
        <f t="shared" ref="M104" si="493">J104-J102</f>
        <v>272963</v>
      </c>
      <c r="N104">
        <f t="shared" ref="N104" si="494">M104/L104</f>
        <v>22620.618214966438</v>
      </c>
      <c r="S104" s="2" t="s">
        <v>12</v>
      </c>
      <c r="U104" t="s">
        <v>1</v>
      </c>
      <c r="V104">
        <v>23.29</v>
      </c>
      <c r="W104">
        <v>445847</v>
      </c>
      <c r="AA104">
        <f t="shared" ref="AA104" si="495">W104/V104</f>
        <v>19143.28037784457</v>
      </c>
      <c r="AE104" s="1" t="s">
        <v>10</v>
      </c>
      <c r="AG104" t="s">
        <v>1</v>
      </c>
      <c r="AH104">
        <v>41.695</v>
      </c>
      <c r="AI104">
        <v>1096292</v>
      </c>
      <c r="AM104">
        <f t="shared" ref="AM104" si="496">AI104/AH104</f>
        <v>26293.128672502698</v>
      </c>
    </row>
    <row r="105" spans="2:41" x14ac:dyDescent="0.2">
      <c r="B105" s="10" t="s">
        <v>10</v>
      </c>
      <c r="D105" t="s">
        <v>1</v>
      </c>
      <c r="E105">
        <v>42.329000000000001</v>
      </c>
      <c r="F105">
        <v>598.91099999999994</v>
      </c>
      <c r="G105">
        <v>318</v>
      </c>
      <c r="H105">
        <v>1093</v>
      </c>
      <c r="I105">
        <v>25351.452000000001</v>
      </c>
      <c r="J105">
        <v>960055</v>
      </c>
      <c r="O105">
        <f t="shared" ref="O105" si="497">J105/E105</f>
        <v>22680.786222211722</v>
      </c>
      <c r="S105" s="2"/>
      <c r="U105" t="s">
        <v>3</v>
      </c>
      <c r="V105">
        <v>23.29</v>
      </c>
      <c r="W105">
        <v>501125</v>
      </c>
      <c r="AB105">
        <f t="shared" ref="AB105" si="498">AA104/Z106</f>
        <v>1.0131643090332101</v>
      </c>
      <c r="AC105">
        <f t="shared" ref="AC105" si="499">AB105/1.05802901</f>
        <v>0.95759596330275487</v>
      </c>
      <c r="AE105" s="1"/>
      <c r="AG105" t="s">
        <v>3</v>
      </c>
      <c r="AH105">
        <v>41.695</v>
      </c>
      <c r="AI105">
        <v>496891</v>
      </c>
      <c r="AN105">
        <f t="shared" ref="AN105" si="500">AM104/AL106</f>
        <v>0.97094444006035996</v>
      </c>
      <c r="AO105">
        <f t="shared" ref="AO105" si="501">AN105/1.05802901</f>
        <v>0.9176916992666958</v>
      </c>
    </row>
    <row r="106" spans="2:41" x14ac:dyDescent="0.2">
      <c r="B106" s="10"/>
      <c r="D106" t="s">
        <v>3</v>
      </c>
      <c r="E106">
        <v>42.329000000000001</v>
      </c>
      <c r="F106">
        <v>215.46899999999999</v>
      </c>
      <c r="G106">
        <v>152</v>
      </c>
      <c r="H106">
        <v>350</v>
      </c>
      <c r="I106">
        <v>9120.64</v>
      </c>
      <c r="J106">
        <v>345397</v>
      </c>
      <c r="P106">
        <f t="shared" ref="P106" si="502">O105/N107</f>
        <v>0.89769871181522476</v>
      </c>
      <c r="S106" s="2"/>
      <c r="U106" t="s">
        <v>2</v>
      </c>
      <c r="V106">
        <v>49.036000000000001</v>
      </c>
      <c r="W106">
        <v>932306</v>
      </c>
      <c r="X106">
        <f t="shared" ref="X106:Y106" si="503">V106-V104</f>
        <v>25.746000000000002</v>
      </c>
      <c r="Y106">
        <f t="shared" si="503"/>
        <v>486459</v>
      </c>
      <c r="Z106">
        <f t="shared" ref="Z106" si="504">Y106/X106</f>
        <v>18894.546725704964</v>
      </c>
      <c r="AE106" s="1"/>
      <c r="AG106" t="s">
        <v>2</v>
      </c>
      <c r="AH106">
        <v>58.305</v>
      </c>
      <c r="AI106">
        <v>1546090</v>
      </c>
      <c r="AJ106">
        <f t="shared" ref="AJ106:AK106" si="505">AH106-AH104</f>
        <v>16.61</v>
      </c>
      <c r="AK106">
        <f t="shared" si="505"/>
        <v>449798</v>
      </c>
      <c r="AL106">
        <f t="shared" ref="AL106" si="506">AK106/AJ106</f>
        <v>27079.951836243228</v>
      </c>
    </row>
    <row r="107" spans="2:41" x14ac:dyDescent="0.2">
      <c r="B107" s="10"/>
      <c r="D107" t="s">
        <v>2</v>
      </c>
      <c r="E107">
        <v>65.25</v>
      </c>
      <c r="F107">
        <v>622.89200000000005</v>
      </c>
      <c r="G107">
        <v>315</v>
      </c>
      <c r="H107">
        <v>1187</v>
      </c>
      <c r="I107">
        <v>40643.576000000001</v>
      </c>
      <c r="J107">
        <v>1539165</v>
      </c>
      <c r="L107">
        <f t="shared" ref="L107" si="507">E107-E106</f>
        <v>22.920999999999999</v>
      </c>
      <c r="M107">
        <f t="shared" ref="M107" si="508">J107-J105</f>
        <v>579110</v>
      </c>
      <c r="N107">
        <f t="shared" ref="N107" si="509">M107/L107</f>
        <v>25265.477073426118</v>
      </c>
      <c r="S107" s="2" t="s">
        <v>12</v>
      </c>
      <c r="U107" t="s">
        <v>1</v>
      </c>
      <c r="V107">
        <v>38.869999999999997</v>
      </c>
      <c r="W107">
        <v>834486</v>
      </c>
      <c r="AA107">
        <f t="shared" ref="AA107" si="510">W107/V107</f>
        <v>21468.639053254439</v>
      </c>
      <c r="AE107" s="1" t="s">
        <v>10</v>
      </c>
      <c r="AG107" t="s">
        <v>1</v>
      </c>
      <c r="AH107">
        <v>19.858000000000001</v>
      </c>
      <c r="AI107">
        <v>429509</v>
      </c>
      <c r="AM107">
        <f t="shared" ref="AM107" si="511">AI107/AH107</f>
        <v>21629.016013697248</v>
      </c>
    </row>
    <row r="108" spans="2:41" x14ac:dyDescent="0.2">
      <c r="B108" s="10" t="s">
        <v>10</v>
      </c>
      <c r="D108" t="s">
        <v>1</v>
      </c>
      <c r="E108">
        <v>41.536999999999999</v>
      </c>
      <c r="F108">
        <v>418.435</v>
      </c>
      <c r="G108">
        <v>179</v>
      </c>
      <c r="H108">
        <v>1277</v>
      </c>
      <c r="I108">
        <v>17380.566999999999</v>
      </c>
      <c r="J108">
        <v>658199</v>
      </c>
      <c r="O108">
        <f t="shared" ref="O108" si="512">J108/E108</f>
        <v>15846.08902905843</v>
      </c>
      <c r="S108" s="2"/>
      <c r="U108" t="s">
        <v>3</v>
      </c>
      <c r="V108">
        <v>38.869999999999997</v>
      </c>
      <c r="W108">
        <v>999000</v>
      </c>
      <c r="AB108">
        <f t="shared" ref="AB108" si="513">AA107/Z109</f>
        <v>1.0559581580805995</v>
      </c>
      <c r="AC108">
        <f t="shared" ref="AC108" si="514">AB108/1.05802901</f>
        <v>0.99804272671181238</v>
      </c>
      <c r="AE108" s="1"/>
      <c r="AG108" t="s">
        <v>3</v>
      </c>
      <c r="AH108">
        <v>19.858000000000001</v>
      </c>
      <c r="AI108">
        <v>167518</v>
      </c>
      <c r="AN108">
        <f t="shared" ref="AN108" si="515">AM107/AL109</f>
        <v>1.8328273243224198</v>
      </c>
      <c r="AO108">
        <f t="shared" ref="AO108" si="516">AN108/1.05802901</f>
        <v>1.7323034689969603</v>
      </c>
    </row>
    <row r="109" spans="2:41" x14ac:dyDescent="0.2">
      <c r="B109" s="10"/>
      <c r="D109" t="s">
        <v>3</v>
      </c>
      <c r="E109">
        <v>41.536999999999999</v>
      </c>
      <c r="F109">
        <v>263.01499999999999</v>
      </c>
      <c r="G109">
        <v>165</v>
      </c>
      <c r="H109">
        <v>427</v>
      </c>
      <c r="I109">
        <v>10924.873</v>
      </c>
      <c r="J109">
        <v>413723</v>
      </c>
      <c r="P109">
        <f t="shared" ref="P109" si="517">O108/N110</f>
        <v>1.015531385822565</v>
      </c>
      <c r="Q109" t="s">
        <v>32</v>
      </c>
      <c r="S109" s="2"/>
      <c r="U109" t="s">
        <v>2</v>
      </c>
      <c r="V109">
        <v>73.224999999999994</v>
      </c>
      <c r="W109">
        <v>1532956</v>
      </c>
      <c r="X109">
        <f t="shared" ref="X109:Y109" si="518">V109-V107</f>
        <v>34.354999999999997</v>
      </c>
      <c r="Y109">
        <f t="shared" si="518"/>
        <v>698470</v>
      </c>
      <c r="Z109">
        <f t="shared" ref="Z109" si="519">Y109/X109</f>
        <v>20330.956192693931</v>
      </c>
      <c r="AE109" s="1"/>
      <c r="AG109" t="s">
        <v>2</v>
      </c>
      <c r="AH109">
        <v>37.814</v>
      </c>
      <c r="AI109">
        <v>641406</v>
      </c>
      <c r="AJ109">
        <f t="shared" ref="AJ109:AK109" si="520">AH109-AH107</f>
        <v>17.956</v>
      </c>
      <c r="AK109">
        <f t="shared" si="520"/>
        <v>211897</v>
      </c>
      <c r="AL109">
        <f t="shared" ref="AL109" si="521">AK109/AJ109</f>
        <v>11800.902205390956</v>
      </c>
    </row>
    <row r="110" spans="2:41" x14ac:dyDescent="0.2">
      <c r="B110" s="10"/>
      <c r="D110" t="s">
        <v>2</v>
      </c>
      <c r="E110">
        <v>59.070999999999998</v>
      </c>
      <c r="F110">
        <v>416.53800000000001</v>
      </c>
      <c r="G110">
        <v>179</v>
      </c>
      <c r="H110">
        <v>1277</v>
      </c>
      <c r="I110">
        <v>24605.212</v>
      </c>
      <c r="J110">
        <v>931795</v>
      </c>
      <c r="L110">
        <f t="shared" ref="L110" si="522">E110-E109</f>
        <v>17.533999999999999</v>
      </c>
      <c r="M110">
        <f t="shared" ref="M110" si="523">J110-J108</f>
        <v>273596</v>
      </c>
      <c r="N110">
        <f t="shared" ref="N110" si="524">M110/L110</f>
        <v>15603.741302612068</v>
      </c>
      <c r="AB110">
        <f>AVERAGE(AB108,AB105,AB102,AB99,AB96,AB93,AB90,AB87,AB84,AB81,AB78,AB75,AB72,AB69,AB66,AB63,AB60,AB57,AB54,AB51,AB48,AB45,AB42,AB39,AB36,AB33,AB30,AB27,AB24,AB21,AB18,AB15,AB12,AB9,AB6,AB3)</f>
        <v>1.0580290110214667</v>
      </c>
    </row>
    <row r="111" spans="2:41" x14ac:dyDescent="0.2">
      <c r="B111" s="10" t="s">
        <v>10</v>
      </c>
      <c r="D111" t="s">
        <v>1</v>
      </c>
      <c r="E111">
        <v>37.601999999999997</v>
      </c>
      <c r="F111">
        <v>455.43299999999999</v>
      </c>
      <c r="G111">
        <v>223</v>
      </c>
      <c r="H111">
        <v>868</v>
      </c>
      <c r="I111">
        <v>17125.43</v>
      </c>
      <c r="J111">
        <v>648537</v>
      </c>
      <c r="O111">
        <f t="shared" ref="O111" si="525">J111/E111</f>
        <v>17247.407052816339</v>
      </c>
    </row>
    <row r="112" spans="2:41" x14ac:dyDescent="0.2">
      <c r="B112" s="10"/>
      <c r="D112" t="s">
        <v>3</v>
      </c>
      <c r="E112">
        <v>37.601999999999997</v>
      </c>
      <c r="F112">
        <v>277.16899999999998</v>
      </c>
      <c r="G112">
        <v>163</v>
      </c>
      <c r="H112">
        <v>449</v>
      </c>
      <c r="I112">
        <v>10422.23</v>
      </c>
      <c r="J112">
        <v>394688</v>
      </c>
      <c r="P112">
        <f t="shared" ref="P112" si="526">O111/N113</f>
        <v>1.1059404849518688</v>
      </c>
    </row>
    <row r="113" spans="1:16" x14ac:dyDescent="0.2">
      <c r="B113" s="10"/>
      <c r="D113" t="s">
        <v>2</v>
      </c>
      <c r="E113">
        <v>51.677</v>
      </c>
      <c r="F113">
        <v>443.55599999999998</v>
      </c>
      <c r="G113">
        <v>193</v>
      </c>
      <c r="H113">
        <v>868</v>
      </c>
      <c r="I113">
        <v>22921.681</v>
      </c>
      <c r="J113">
        <v>868040</v>
      </c>
      <c r="L113">
        <f t="shared" ref="L113" si="527">E113-E112</f>
        <v>14.075000000000003</v>
      </c>
      <c r="M113">
        <f t="shared" ref="M113" si="528">J113-J111</f>
        <v>219503</v>
      </c>
      <c r="N113">
        <f t="shared" ref="N113" si="529">M113/L113</f>
        <v>15595.239786856124</v>
      </c>
    </row>
    <row r="114" spans="1:16" x14ac:dyDescent="0.2">
      <c r="B114" s="10" t="s">
        <v>10</v>
      </c>
      <c r="D114" t="s">
        <v>1</v>
      </c>
      <c r="E114">
        <v>39.027999999999999</v>
      </c>
      <c r="F114">
        <v>505.11700000000002</v>
      </c>
      <c r="G114">
        <v>261</v>
      </c>
      <c r="H114">
        <v>1035</v>
      </c>
      <c r="I114">
        <v>19713.929</v>
      </c>
      <c r="J114">
        <v>746563</v>
      </c>
      <c r="O114">
        <f t="shared" ref="O114" si="530">J114/E114</f>
        <v>19128.907451060779</v>
      </c>
    </row>
    <row r="115" spans="1:16" x14ac:dyDescent="0.2">
      <c r="B115" s="10"/>
      <c r="D115" t="s">
        <v>3</v>
      </c>
      <c r="E115">
        <v>39.027999999999999</v>
      </c>
      <c r="F115">
        <v>254.482</v>
      </c>
      <c r="G115">
        <v>154</v>
      </c>
      <c r="H115">
        <v>443</v>
      </c>
      <c r="I115">
        <v>9932.0239999999994</v>
      </c>
      <c r="J115">
        <v>376124</v>
      </c>
      <c r="P115" s="7">
        <f t="shared" ref="P115" si="531">O114/N116</f>
        <v>1.1468726205871154</v>
      </c>
    </row>
    <row r="116" spans="1:16" x14ac:dyDescent="0.2">
      <c r="B116" s="10"/>
      <c r="D116" t="s">
        <v>2</v>
      </c>
      <c r="E116">
        <v>52.575000000000003</v>
      </c>
      <c r="F116">
        <v>488.45600000000002</v>
      </c>
      <c r="G116">
        <v>206</v>
      </c>
      <c r="H116">
        <v>1035</v>
      </c>
      <c r="I116">
        <v>25680.501</v>
      </c>
      <c r="J116">
        <v>972516</v>
      </c>
      <c r="L116">
        <f t="shared" ref="L116" si="532">E116-E115</f>
        <v>13.547000000000004</v>
      </c>
      <c r="M116">
        <f t="shared" ref="M116" si="533">J116-J114</f>
        <v>225953</v>
      </c>
      <c r="N116">
        <f t="shared" ref="N116" si="534">M116/L116</f>
        <v>16679.190964789246</v>
      </c>
    </row>
    <row r="117" spans="1:16" x14ac:dyDescent="0.2">
      <c r="A117" t="s">
        <v>15</v>
      </c>
      <c r="B117" s="10" t="s">
        <v>10</v>
      </c>
      <c r="D117" t="s">
        <v>1</v>
      </c>
      <c r="E117">
        <v>42.673000000000002</v>
      </c>
      <c r="F117">
        <v>540.24</v>
      </c>
      <c r="G117">
        <v>225</v>
      </c>
      <c r="H117">
        <v>1705</v>
      </c>
      <c r="I117">
        <v>23053.396000000001</v>
      </c>
      <c r="J117">
        <v>873028</v>
      </c>
      <c r="O117">
        <f t="shared" ref="O117" si="535">J117/E117</f>
        <v>20458.556932955264</v>
      </c>
    </row>
    <row r="118" spans="1:16" x14ac:dyDescent="0.2">
      <c r="B118" s="10"/>
      <c r="D118" t="s">
        <v>3</v>
      </c>
      <c r="E118">
        <v>42.673000000000002</v>
      </c>
      <c r="F118">
        <v>237.79900000000001</v>
      </c>
      <c r="G118">
        <v>132</v>
      </c>
      <c r="H118">
        <v>437</v>
      </c>
      <c r="I118">
        <v>10147.473</v>
      </c>
      <c r="J118">
        <v>384283</v>
      </c>
      <c r="P118" s="7">
        <f t="shared" ref="P118" si="536">O117/N119</f>
        <v>1.1822132025430749</v>
      </c>
    </row>
    <row r="119" spans="1:16" x14ac:dyDescent="0.2">
      <c r="B119" s="10"/>
      <c r="D119" t="s">
        <v>2</v>
      </c>
      <c r="E119">
        <v>78.11</v>
      </c>
      <c r="F119">
        <v>502.46</v>
      </c>
      <c r="G119">
        <v>198</v>
      </c>
      <c r="H119">
        <v>1705</v>
      </c>
      <c r="I119">
        <v>39246.976000000002</v>
      </c>
      <c r="J119">
        <v>1486276</v>
      </c>
      <c r="L119">
        <f t="shared" ref="L119" si="537">E119-E118</f>
        <v>35.436999999999998</v>
      </c>
      <c r="M119">
        <f t="shared" ref="M119" si="538">J119-J117</f>
        <v>613248</v>
      </c>
      <c r="N119">
        <f t="shared" ref="N119" si="539">M119/L119</f>
        <v>17305.302367581906</v>
      </c>
    </row>
    <row r="120" spans="1:16" x14ac:dyDescent="0.2">
      <c r="B120" s="10" t="s">
        <v>10</v>
      </c>
      <c r="D120" t="s">
        <v>1</v>
      </c>
      <c r="E120">
        <v>21.626999999999999</v>
      </c>
      <c r="F120">
        <v>543.37900000000002</v>
      </c>
      <c r="G120">
        <v>267</v>
      </c>
      <c r="H120">
        <v>1033</v>
      </c>
      <c r="I120">
        <v>11751.494000000001</v>
      </c>
      <c r="J120">
        <v>445027</v>
      </c>
      <c r="O120">
        <f t="shared" ref="O120" si="540">J120/E120</f>
        <v>20577.380126693486</v>
      </c>
    </row>
    <row r="121" spans="1:16" x14ac:dyDescent="0.2">
      <c r="B121" s="10"/>
      <c r="D121" t="s">
        <v>3</v>
      </c>
      <c r="E121">
        <v>21.626999999999999</v>
      </c>
      <c r="F121">
        <v>223.50700000000001</v>
      </c>
      <c r="G121">
        <v>152</v>
      </c>
      <c r="H121">
        <v>371</v>
      </c>
      <c r="I121">
        <v>4833.7169999999996</v>
      </c>
      <c r="J121">
        <v>183052</v>
      </c>
      <c r="P121">
        <f t="shared" ref="P121" si="541">O120/N122</f>
        <v>0.90365548256115269</v>
      </c>
    </row>
    <row r="122" spans="1:16" x14ac:dyDescent="0.2">
      <c r="B122" s="10"/>
      <c r="D122" t="s">
        <v>2</v>
      </c>
      <c r="E122">
        <v>34.17</v>
      </c>
      <c r="F122">
        <v>564.64200000000005</v>
      </c>
      <c r="G122">
        <v>265</v>
      </c>
      <c r="H122">
        <v>1068</v>
      </c>
      <c r="I122">
        <v>19293.647000000001</v>
      </c>
      <c r="J122">
        <v>730647</v>
      </c>
      <c r="L122">
        <f t="shared" ref="L122" si="542">E122-E121</f>
        <v>12.543000000000003</v>
      </c>
      <c r="M122">
        <f t="shared" ref="M122" si="543">J122-J120</f>
        <v>285620</v>
      </c>
      <c r="N122">
        <f t="shared" ref="N122" si="544">M122/L122</f>
        <v>22771.266842063298</v>
      </c>
    </row>
    <row r="123" spans="1:16" x14ac:dyDescent="0.2">
      <c r="B123" s="10" t="s">
        <v>10</v>
      </c>
      <c r="D123" t="s">
        <v>1</v>
      </c>
      <c r="E123">
        <v>20.359000000000002</v>
      </c>
      <c r="F123">
        <v>537.78300000000002</v>
      </c>
      <c r="G123">
        <v>233</v>
      </c>
      <c r="H123">
        <v>1495</v>
      </c>
      <c r="I123">
        <v>10948.85</v>
      </c>
      <c r="J123">
        <v>414631</v>
      </c>
      <c r="O123">
        <f t="shared" ref="O123" si="545">J123/E123</f>
        <v>20365.980647379536</v>
      </c>
    </row>
    <row r="124" spans="1:16" x14ac:dyDescent="0.2">
      <c r="B124" s="10"/>
      <c r="D124" t="s">
        <v>3</v>
      </c>
      <c r="E124">
        <v>20.359000000000002</v>
      </c>
      <c r="F124">
        <v>277.82100000000003</v>
      </c>
      <c r="G124">
        <v>191</v>
      </c>
      <c r="H124">
        <v>451</v>
      </c>
      <c r="I124">
        <v>5656.2190000000001</v>
      </c>
      <c r="J124">
        <v>214200</v>
      </c>
      <c r="P124">
        <f t="shared" ref="P124" si="546">O123/N125</f>
        <v>0.911249495435146</v>
      </c>
    </row>
    <row r="125" spans="1:16" x14ac:dyDescent="0.2">
      <c r="B125" s="10"/>
      <c r="D125" t="s">
        <v>2</v>
      </c>
      <c r="E125">
        <v>39.582999999999998</v>
      </c>
      <c r="F125">
        <v>563.22699999999998</v>
      </c>
      <c r="G125">
        <v>233</v>
      </c>
      <c r="H125">
        <v>1546</v>
      </c>
      <c r="I125">
        <v>22294.216</v>
      </c>
      <c r="J125">
        <v>844278</v>
      </c>
      <c r="L125">
        <f t="shared" ref="L125" si="547">E125-E124</f>
        <v>19.223999999999997</v>
      </c>
      <c r="M125">
        <f t="shared" ref="M125" si="548">J125-J123</f>
        <v>429647</v>
      </c>
      <c r="N125">
        <f t="shared" ref="N125" si="549">M125/L125</f>
        <v>22349.511027881817</v>
      </c>
    </row>
    <row r="126" spans="1:16" x14ac:dyDescent="0.2">
      <c r="B126" s="10" t="s">
        <v>10</v>
      </c>
      <c r="D126" t="s">
        <v>1</v>
      </c>
      <c r="E126">
        <v>47.637</v>
      </c>
      <c r="F126">
        <v>686.447</v>
      </c>
      <c r="G126">
        <v>357</v>
      </c>
      <c r="H126">
        <v>1588</v>
      </c>
      <c r="I126">
        <v>32700.205999999998</v>
      </c>
      <c r="J126">
        <v>1238351</v>
      </c>
      <c r="O126">
        <f t="shared" ref="O126" si="550">J126/E126</f>
        <v>25995.570669857465</v>
      </c>
    </row>
    <row r="127" spans="1:16" x14ac:dyDescent="0.2">
      <c r="B127" s="10"/>
      <c r="D127" t="s">
        <v>3</v>
      </c>
      <c r="E127">
        <v>47.637</v>
      </c>
      <c r="F127">
        <v>224.952</v>
      </c>
      <c r="G127">
        <v>148</v>
      </c>
      <c r="H127">
        <v>411</v>
      </c>
      <c r="I127">
        <v>10716</v>
      </c>
      <c r="J127">
        <v>405813</v>
      </c>
      <c r="P127">
        <f t="shared" ref="P127" si="551">O126/N128</f>
        <v>0.99941793740415641</v>
      </c>
    </row>
    <row r="128" spans="1:16" x14ac:dyDescent="0.2">
      <c r="B128" s="10"/>
      <c r="D128" t="s">
        <v>2</v>
      </c>
      <c r="E128">
        <v>82.835999999999999</v>
      </c>
      <c r="F128">
        <v>686.61199999999997</v>
      </c>
      <c r="G128">
        <v>333</v>
      </c>
      <c r="H128">
        <v>1588</v>
      </c>
      <c r="I128">
        <v>56876.474999999999</v>
      </c>
      <c r="J128">
        <v>2153902</v>
      </c>
      <c r="L128">
        <f t="shared" ref="L128" si="552">E128-E127</f>
        <v>35.198999999999998</v>
      </c>
      <c r="M128">
        <f t="shared" ref="M128" si="553">J128-J126</f>
        <v>915551</v>
      </c>
      <c r="N128">
        <f t="shared" ref="N128" si="554">M128/L128</f>
        <v>26010.710531549194</v>
      </c>
    </row>
    <row r="129" spans="1:16" x14ac:dyDescent="0.2">
      <c r="B129" s="10" t="s">
        <v>10</v>
      </c>
      <c r="D129" t="s">
        <v>1</v>
      </c>
      <c r="E129">
        <v>48.667000000000002</v>
      </c>
      <c r="F129">
        <v>612.23400000000004</v>
      </c>
      <c r="G129">
        <v>206</v>
      </c>
      <c r="H129">
        <v>1524</v>
      </c>
      <c r="I129">
        <v>29795.438999999998</v>
      </c>
      <c r="J129">
        <v>1128348</v>
      </c>
      <c r="O129">
        <f t="shared" ref="O129" si="555">J129/E129</f>
        <v>23185.074074835102</v>
      </c>
    </row>
    <row r="130" spans="1:16" x14ac:dyDescent="0.2">
      <c r="B130" s="10"/>
      <c r="D130" t="s">
        <v>3</v>
      </c>
      <c r="E130">
        <v>48.667000000000002</v>
      </c>
      <c r="F130">
        <v>222.44900000000001</v>
      </c>
      <c r="G130">
        <v>137</v>
      </c>
      <c r="H130">
        <v>427</v>
      </c>
      <c r="I130">
        <v>10825.876</v>
      </c>
      <c r="J130">
        <v>409974</v>
      </c>
      <c r="P130">
        <f t="shared" ref="P130" si="556">O129/N131</f>
        <v>0.98424241563077863</v>
      </c>
    </row>
    <row r="131" spans="1:16" x14ac:dyDescent="0.2">
      <c r="B131" s="10"/>
      <c r="D131" t="s">
        <v>2</v>
      </c>
      <c r="E131">
        <v>82.863</v>
      </c>
      <c r="F131">
        <v>616.27700000000004</v>
      </c>
      <c r="G131">
        <v>195</v>
      </c>
      <c r="H131">
        <v>1701</v>
      </c>
      <c r="I131">
        <v>51066.466</v>
      </c>
      <c r="J131">
        <v>1933878</v>
      </c>
      <c r="L131">
        <f t="shared" ref="L131" si="557">E131-E130</f>
        <v>34.195999999999998</v>
      </c>
      <c r="M131">
        <f t="shared" ref="M131" si="558">J131-J129</f>
        <v>805530</v>
      </c>
      <c r="N131">
        <f t="shared" ref="N131" si="559">M131/L131</f>
        <v>23556.26389051351</v>
      </c>
    </row>
    <row r="132" spans="1:16" x14ac:dyDescent="0.2">
      <c r="B132" s="2" t="s">
        <v>12</v>
      </c>
      <c r="D132" t="s">
        <v>1</v>
      </c>
      <c r="E132">
        <v>19.831</v>
      </c>
      <c r="F132">
        <v>555.69200000000001</v>
      </c>
      <c r="G132">
        <v>319</v>
      </c>
      <c r="H132">
        <v>1149</v>
      </c>
      <c r="I132">
        <v>11019.987999999999</v>
      </c>
      <c r="J132">
        <v>417325</v>
      </c>
      <c r="O132">
        <f t="shared" ref="O132" si="560">J132/E132</f>
        <v>21044.072411880388</v>
      </c>
    </row>
    <row r="133" spans="1:16" x14ac:dyDescent="0.2">
      <c r="B133" s="2"/>
      <c r="D133" t="s">
        <v>3</v>
      </c>
      <c r="E133">
        <v>19.831</v>
      </c>
      <c r="F133">
        <v>294.815</v>
      </c>
      <c r="G133">
        <v>188</v>
      </c>
      <c r="H133">
        <v>453</v>
      </c>
      <c r="I133">
        <v>5846.5020000000004</v>
      </c>
      <c r="J133">
        <v>221406</v>
      </c>
      <c r="P133" s="4">
        <f t="shared" ref="P133" si="561">O132/N134</f>
        <v>1.1570883624683517</v>
      </c>
    </row>
    <row r="134" spans="1:16" x14ac:dyDescent="0.2">
      <c r="B134" s="2"/>
      <c r="D134" t="s">
        <v>2</v>
      </c>
      <c r="E134">
        <v>45.101999999999997</v>
      </c>
      <c r="F134">
        <v>513.42600000000004</v>
      </c>
      <c r="G134">
        <v>251</v>
      </c>
      <c r="H134">
        <v>1275</v>
      </c>
      <c r="I134">
        <v>23156.458999999999</v>
      </c>
      <c r="J134">
        <v>876931</v>
      </c>
      <c r="L134">
        <f t="shared" ref="L134" si="562">E134-E133</f>
        <v>25.270999999999997</v>
      </c>
      <c r="M134">
        <f t="shared" ref="M134" si="563">J134-J132</f>
        <v>459606</v>
      </c>
      <c r="N134">
        <f t="shared" ref="N134" si="564">M134/L134</f>
        <v>18187.091923548734</v>
      </c>
    </row>
    <row r="135" spans="1:16" x14ac:dyDescent="0.2">
      <c r="B135" s="10" t="s">
        <v>10</v>
      </c>
      <c r="D135" t="s">
        <v>1</v>
      </c>
      <c r="E135">
        <v>43.28</v>
      </c>
      <c r="F135">
        <v>562.423</v>
      </c>
      <c r="G135">
        <v>229</v>
      </c>
      <c r="H135">
        <v>1085</v>
      </c>
      <c r="I135">
        <v>24341.572</v>
      </c>
      <c r="J135">
        <v>921811</v>
      </c>
      <c r="O135">
        <f t="shared" ref="O135" si="565">J135/E135</f>
        <v>21298.775415896489</v>
      </c>
    </row>
    <row r="136" spans="1:16" x14ac:dyDescent="0.2">
      <c r="B136" s="10"/>
      <c r="D136" t="s">
        <v>3</v>
      </c>
      <c r="E136">
        <v>43.28</v>
      </c>
      <c r="F136">
        <v>234.02699999999999</v>
      </c>
      <c r="G136">
        <v>158</v>
      </c>
      <c r="H136">
        <v>351</v>
      </c>
      <c r="I136">
        <v>10128.672</v>
      </c>
      <c r="J136">
        <v>383571</v>
      </c>
      <c r="P136">
        <f t="shared" ref="P136" si="566">O135/N137</f>
        <v>0.87496338458966327</v>
      </c>
    </row>
    <row r="137" spans="1:16" x14ac:dyDescent="0.2">
      <c r="B137" s="10"/>
      <c r="D137" t="s">
        <v>2</v>
      </c>
      <c r="E137">
        <v>60.232999999999997</v>
      </c>
      <c r="F137">
        <v>585.04600000000005</v>
      </c>
      <c r="G137">
        <v>246</v>
      </c>
      <c r="H137">
        <v>1219</v>
      </c>
      <c r="I137">
        <v>35238.85</v>
      </c>
      <c r="J137">
        <v>1334489</v>
      </c>
      <c r="L137">
        <f t="shared" ref="L137" si="567">E137-E136</f>
        <v>16.952999999999996</v>
      </c>
      <c r="M137">
        <f t="shared" ref="M137" si="568">J137-J135</f>
        <v>412678</v>
      </c>
      <c r="N137">
        <f t="shared" ref="N137" si="569">M137/L137</f>
        <v>24342.476257889466</v>
      </c>
    </row>
    <row r="138" spans="1:16" x14ac:dyDescent="0.2">
      <c r="B138" s="10" t="s">
        <v>10</v>
      </c>
      <c r="D138" t="s">
        <v>1</v>
      </c>
      <c r="E138">
        <v>37.18</v>
      </c>
      <c r="F138">
        <v>574.31700000000001</v>
      </c>
      <c r="G138">
        <v>322</v>
      </c>
      <c r="H138">
        <v>1146</v>
      </c>
      <c r="I138">
        <v>21353.124</v>
      </c>
      <c r="J138">
        <v>808639</v>
      </c>
      <c r="O138">
        <f t="shared" ref="O138" si="570">J138/E138</f>
        <v>21749.3006993007</v>
      </c>
    </row>
    <row r="139" spans="1:16" x14ac:dyDescent="0.2">
      <c r="B139" s="10"/>
      <c r="D139" t="s">
        <v>3</v>
      </c>
      <c r="E139">
        <v>37.18</v>
      </c>
      <c r="F139">
        <v>208.02799999999999</v>
      </c>
      <c r="G139">
        <v>138</v>
      </c>
      <c r="H139">
        <v>356</v>
      </c>
      <c r="I139">
        <v>7734.47</v>
      </c>
      <c r="J139">
        <v>292903</v>
      </c>
      <c r="P139">
        <f t="shared" ref="P139" si="571">O138/N140</f>
        <v>0.95851501032617403</v>
      </c>
    </row>
    <row r="140" spans="1:16" x14ac:dyDescent="0.2">
      <c r="B140" s="10"/>
      <c r="D140" t="s">
        <v>2</v>
      </c>
      <c r="E140">
        <v>48.534999999999997</v>
      </c>
      <c r="F140">
        <v>580.13699999999994</v>
      </c>
      <c r="G140">
        <v>308</v>
      </c>
      <c r="H140">
        <v>988</v>
      </c>
      <c r="I140">
        <v>28156.746999999999</v>
      </c>
      <c r="J140">
        <v>1066291</v>
      </c>
      <c r="L140">
        <f t="shared" ref="L140" si="572">E140-E139</f>
        <v>11.354999999999997</v>
      </c>
      <c r="M140">
        <f t="shared" ref="M140" si="573">J140-J138</f>
        <v>257652</v>
      </c>
      <c r="N140">
        <f t="shared" ref="N140" si="574">M140/L140</f>
        <v>22690.620871862622</v>
      </c>
    </row>
    <row r="141" spans="1:16" x14ac:dyDescent="0.2">
      <c r="A141" t="s">
        <v>16</v>
      </c>
      <c r="B141" s="10" t="s">
        <v>10</v>
      </c>
      <c r="D141" t="s">
        <v>1</v>
      </c>
      <c r="E141">
        <v>35.411000000000001</v>
      </c>
      <c r="F141">
        <v>629.75300000000004</v>
      </c>
      <c r="G141">
        <v>351</v>
      </c>
      <c r="H141">
        <v>1091</v>
      </c>
      <c r="I141">
        <v>22300.052</v>
      </c>
      <c r="J141">
        <v>844499</v>
      </c>
      <c r="O141">
        <f t="shared" ref="O141" si="575">J141/E141</f>
        <v>23848.493406003785</v>
      </c>
    </row>
    <row r="142" spans="1:16" x14ac:dyDescent="0.2">
      <c r="B142" s="10"/>
      <c r="D142" t="s">
        <v>3</v>
      </c>
      <c r="E142">
        <v>35.411000000000001</v>
      </c>
      <c r="F142">
        <v>383.565</v>
      </c>
      <c r="G142">
        <v>220</v>
      </c>
      <c r="H142">
        <v>609</v>
      </c>
      <c r="I142">
        <v>13582.319</v>
      </c>
      <c r="J142">
        <v>514360</v>
      </c>
      <c r="P142">
        <f t="shared" ref="P142" si="576">O141/N143</f>
        <v>1.0679077961925867</v>
      </c>
    </row>
    <row r="143" spans="1:16" x14ac:dyDescent="0.2">
      <c r="B143" s="10"/>
      <c r="D143" t="s">
        <v>2</v>
      </c>
      <c r="E143">
        <v>47.954000000000001</v>
      </c>
      <c r="F143">
        <v>619.27800000000002</v>
      </c>
      <c r="G143">
        <v>351</v>
      </c>
      <c r="H143">
        <v>1091</v>
      </c>
      <c r="I143">
        <v>29696.705999999998</v>
      </c>
      <c r="J143">
        <v>1124609</v>
      </c>
      <c r="L143">
        <f t="shared" ref="L143" si="577">E143-E142</f>
        <v>12.542999999999999</v>
      </c>
      <c r="M143">
        <f t="shared" ref="M143" si="578">J143-J141</f>
        <v>280110</v>
      </c>
      <c r="N143">
        <f t="shared" ref="N143" si="579">M143/L143</f>
        <v>22331.977995694811</v>
      </c>
    </row>
    <row r="144" spans="1:16" x14ac:dyDescent="0.2">
      <c r="B144" s="2" t="s">
        <v>12</v>
      </c>
      <c r="D144" t="s">
        <v>1</v>
      </c>
      <c r="E144">
        <v>31.82</v>
      </c>
      <c r="F144">
        <v>525.20100000000002</v>
      </c>
      <c r="G144">
        <v>236</v>
      </c>
      <c r="H144">
        <v>1656</v>
      </c>
      <c r="I144">
        <v>16711.644</v>
      </c>
      <c r="J144">
        <v>632867</v>
      </c>
      <c r="O144">
        <f t="shared" ref="O144" si="580">J144/E144</f>
        <v>19888.969201759901</v>
      </c>
    </row>
    <row r="145" spans="2:16" x14ac:dyDescent="0.2">
      <c r="B145" s="2"/>
      <c r="D145" t="s">
        <v>3</v>
      </c>
      <c r="E145">
        <v>31.82</v>
      </c>
      <c r="F145">
        <v>637.33799999999997</v>
      </c>
      <c r="G145">
        <v>296</v>
      </c>
      <c r="H145">
        <v>2010</v>
      </c>
      <c r="I145">
        <v>20279.789000000001</v>
      </c>
      <c r="J145">
        <v>767992</v>
      </c>
      <c r="P145" s="4">
        <f t="shared" ref="P145" si="581">O144/N146</f>
        <v>0.83984912037728976</v>
      </c>
    </row>
    <row r="146" spans="2:16" x14ac:dyDescent="0.2">
      <c r="B146" s="2"/>
      <c r="D146" t="s">
        <v>2</v>
      </c>
      <c r="E146">
        <v>41.933</v>
      </c>
      <c r="F146">
        <v>549.34400000000005</v>
      </c>
      <c r="G146">
        <v>236</v>
      </c>
      <c r="H146">
        <v>1161</v>
      </c>
      <c r="I146">
        <v>23035.73</v>
      </c>
      <c r="J146">
        <v>872359</v>
      </c>
      <c r="L146">
        <f t="shared" ref="L146" si="582">E146-E145</f>
        <v>10.113</v>
      </c>
      <c r="M146">
        <f t="shared" ref="M146" si="583">J146-J144</f>
        <v>239492</v>
      </c>
      <c r="N146">
        <f t="shared" ref="N146" si="584">M146/L146</f>
        <v>23681.597943241373</v>
      </c>
    </row>
    <row r="147" spans="2:16" x14ac:dyDescent="0.2">
      <c r="B147" s="10" t="s">
        <v>10</v>
      </c>
      <c r="D147" t="s">
        <v>1</v>
      </c>
      <c r="E147">
        <v>39.582999999999998</v>
      </c>
      <c r="F147">
        <v>787.37599999999998</v>
      </c>
      <c r="G147">
        <v>465</v>
      </c>
      <c r="H147">
        <v>1196</v>
      </c>
      <c r="I147">
        <v>31166.663</v>
      </c>
      <c r="J147">
        <v>1180276</v>
      </c>
      <c r="O147">
        <f t="shared" ref="O147" si="585">J147/E147</f>
        <v>29817.750044210901</v>
      </c>
    </row>
    <row r="148" spans="2:16" x14ac:dyDescent="0.2">
      <c r="B148" s="10"/>
      <c r="D148" t="s">
        <v>3</v>
      </c>
      <c r="E148">
        <v>39.582999999999998</v>
      </c>
      <c r="F148">
        <v>303.57400000000001</v>
      </c>
      <c r="G148">
        <v>187</v>
      </c>
      <c r="H148">
        <v>565</v>
      </c>
      <c r="I148">
        <v>12016.375</v>
      </c>
      <c r="J148">
        <v>455058</v>
      </c>
      <c r="P148">
        <f t="shared" ref="P148" si="586">O147/N149</f>
        <v>1.018712038991177</v>
      </c>
    </row>
    <row r="149" spans="2:16" x14ac:dyDescent="0.2">
      <c r="B149" s="10"/>
      <c r="D149" t="s">
        <v>2</v>
      </c>
      <c r="E149">
        <v>88.778000000000006</v>
      </c>
      <c r="F149">
        <v>779.36199999999997</v>
      </c>
      <c r="G149">
        <v>275</v>
      </c>
      <c r="H149">
        <v>1578</v>
      </c>
      <c r="I149">
        <v>69190.078999999998</v>
      </c>
      <c r="J149">
        <v>2620216</v>
      </c>
      <c r="L149">
        <f t="shared" ref="L149" si="587">E149-E148</f>
        <v>49.195000000000007</v>
      </c>
      <c r="M149">
        <f t="shared" ref="M149" si="588">J149-J147</f>
        <v>1439940</v>
      </c>
      <c r="N149">
        <f t="shared" ref="N149" si="589">M149/L149</f>
        <v>29270.047769082219</v>
      </c>
    </row>
    <row r="150" spans="2:16" x14ac:dyDescent="0.2">
      <c r="B150" s="10" t="s">
        <v>10</v>
      </c>
      <c r="D150" t="s">
        <v>1</v>
      </c>
      <c r="E150">
        <v>30.05</v>
      </c>
      <c r="F150">
        <v>413.18099999999998</v>
      </c>
      <c r="G150">
        <v>217</v>
      </c>
      <c r="H150">
        <v>902</v>
      </c>
      <c r="I150">
        <v>12416.218999999999</v>
      </c>
      <c r="J150">
        <v>470200</v>
      </c>
      <c r="O150">
        <f t="shared" ref="O150" si="590">J150/E150</f>
        <v>15647.254575707155</v>
      </c>
    </row>
    <row r="151" spans="2:16" x14ac:dyDescent="0.2">
      <c r="B151" s="10"/>
      <c r="D151" t="s">
        <v>3</v>
      </c>
      <c r="E151">
        <v>30.05</v>
      </c>
      <c r="F151">
        <v>362.55900000000003</v>
      </c>
      <c r="G151">
        <v>228</v>
      </c>
      <c r="H151">
        <v>538</v>
      </c>
      <c r="I151">
        <v>10895.008</v>
      </c>
      <c r="J151">
        <v>412592</v>
      </c>
      <c r="P151">
        <f t="shared" ref="P151" si="591">O150/N152</f>
        <v>0.9865328461481695</v>
      </c>
    </row>
    <row r="152" spans="2:16" x14ac:dyDescent="0.2">
      <c r="B152" s="10"/>
      <c r="D152" t="s">
        <v>2</v>
      </c>
      <c r="E152">
        <v>65.646000000000001</v>
      </c>
      <c r="F152">
        <v>416.24400000000003</v>
      </c>
      <c r="G152">
        <v>202</v>
      </c>
      <c r="H152">
        <v>902</v>
      </c>
      <c r="I152">
        <v>27324.739000000001</v>
      </c>
      <c r="J152">
        <v>1034783</v>
      </c>
      <c r="L152">
        <f t="shared" ref="L152" si="592">E152-E151</f>
        <v>35.596000000000004</v>
      </c>
      <c r="M152">
        <f t="shared" ref="M152" si="593">J152-J150</f>
        <v>564583</v>
      </c>
      <c r="N152">
        <f t="shared" ref="N152" si="594">M152/L152</f>
        <v>15860.855152264297</v>
      </c>
    </row>
    <row r="153" spans="2:16" x14ac:dyDescent="0.2">
      <c r="B153" s="10" t="s">
        <v>10</v>
      </c>
      <c r="D153" t="s">
        <v>1</v>
      </c>
      <c r="E153">
        <v>28.280999999999999</v>
      </c>
      <c r="F153">
        <v>507.73700000000002</v>
      </c>
      <c r="G153">
        <v>167</v>
      </c>
      <c r="H153">
        <v>1019</v>
      </c>
      <c r="I153">
        <v>14359.349</v>
      </c>
      <c r="J153">
        <v>543786</v>
      </c>
      <c r="O153">
        <f t="shared" ref="O153" si="595">J153/E153</f>
        <v>19227.962236130265</v>
      </c>
    </row>
    <row r="154" spans="2:16" x14ac:dyDescent="0.2">
      <c r="B154" s="10"/>
      <c r="D154" t="s">
        <v>3</v>
      </c>
      <c r="E154">
        <v>28.280999999999999</v>
      </c>
      <c r="F154">
        <v>282.69400000000002</v>
      </c>
      <c r="G154">
        <v>160</v>
      </c>
      <c r="H154">
        <v>540</v>
      </c>
      <c r="I154">
        <v>7994.8879999999999</v>
      </c>
      <c r="J154">
        <v>302765</v>
      </c>
      <c r="P154" s="7">
        <f t="shared" ref="P154" si="596">O153/N155</f>
        <v>1.1935242850012073</v>
      </c>
    </row>
    <row r="155" spans="2:16" x14ac:dyDescent="0.2">
      <c r="B155" s="10"/>
      <c r="D155" t="s">
        <v>2</v>
      </c>
      <c r="E155">
        <v>49.063000000000002</v>
      </c>
      <c r="F155">
        <v>472.86799999999999</v>
      </c>
      <c r="G155">
        <v>157</v>
      </c>
      <c r="H155">
        <v>1019</v>
      </c>
      <c r="I155">
        <v>23200.241000000002</v>
      </c>
      <c r="J155">
        <v>878589</v>
      </c>
      <c r="L155">
        <f t="shared" ref="L155" si="597">E155-E154</f>
        <v>20.782000000000004</v>
      </c>
      <c r="M155">
        <f t="shared" ref="M155" si="598">J155-J153</f>
        <v>334803</v>
      </c>
      <c r="N155">
        <f t="shared" ref="N155" si="599">M155/L155</f>
        <v>16110.239630449425</v>
      </c>
    </row>
    <row r="156" spans="2:16" x14ac:dyDescent="0.2">
      <c r="B156" s="10" t="s">
        <v>10</v>
      </c>
      <c r="D156" t="s">
        <v>1</v>
      </c>
      <c r="E156">
        <v>53.287999999999997</v>
      </c>
      <c r="F156">
        <v>787.27599999999995</v>
      </c>
      <c r="G156">
        <v>423</v>
      </c>
      <c r="H156">
        <v>1372</v>
      </c>
      <c r="I156">
        <v>41952.216999999997</v>
      </c>
      <c r="J156">
        <v>1588723</v>
      </c>
      <c r="O156">
        <f t="shared" ref="O156" si="600">J156/E156</f>
        <v>29813.898063353852</v>
      </c>
    </row>
    <row r="157" spans="2:16" x14ac:dyDescent="0.2">
      <c r="B157" s="10"/>
      <c r="D157" t="s">
        <v>3</v>
      </c>
      <c r="E157">
        <v>53.287999999999997</v>
      </c>
      <c r="F157">
        <v>274.11599999999999</v>
      </c>
      <c r="G157">
        <v>178</v>
      </c>
      <c r="H157">
        <v>418</v>
      </c>
      <c r="I157">
        <v>14607.04</v>
      </c>
      <c r="J157">
        <v>553166</v>
      </c>
      <c r="P157">
        <f t="shared" ref="P157" si="601">O156/N158</f>
        <v>1.1738199319987597</v>
      </c>
    </row>
    <row r="158" spans="2:16" x14ac:dyDescent="0.2">
      <c r="B158" s="10"/>
      <c r="D158" t="s">
        <v>2</v>
      </c>
      <c r="E158">
        <v>77.634</v>
      </c>
      <c r="F158">
        <v>750.71</v>
      </c>
      <c r="G158">
        <v>283</v>
      </c>
      <c r="H158">
        <v>1396</v>
      </c>
      <c r="I158">
        <v>58280.917999999998</v>
      </c>
      <c r="J158">
        <v>2207088</v>
      </c>
      <c r="L158">
        <f t="shared" ref="L158" si="602">E158-E157</f>
        <v>24.346000000000004</v>
      </c>
      <c r="M158">
        <f t="shared" ref="M158" si="603">J158-J156</f>
        <v>618365</v>
      </c>
      <c r="N158">
        <f t="shared" ref="N158" si="604">M158/L158</f>
        <v>25399.038856485662</v>
      </c>
    </row>
    <row r="159" spans="2:16" x14ac:dyDescent="0.2">
      <c r="B159" s="10" t="s">
        <v>10</v>
      </c>
      <c r="D159" t="s">
        <v>1</v>
      </c>
      <c r="E159">
        <v>31.212</v>
      </c>
      <c r="F159">
        <v>595.16200000000003</v>
      </c>
      <c r="G159">
        <v>240</v>
      </c>
      <c r="H159">
        <v>1266</v>
      </c>
      <c r="I159">
        <v>18576.322</v>
      </c>
      <c r="J159">
        <v>703482</v>
      </c>
      <c r="O159">
        <f t="shared" ref="O159" si="605">J159/E159</f>
        <v>22538.831218762014</v>
      </c>
    </row>
    <row r="160" spans="2:16" x14ac:dyDescent="0.2">
      <c r="B160" s="10"/>
      <c r="D160" t="s">
        <v>3</v>
      </c>
      <c r="E160">
        <v>31.212</v>
      </c>
      <c r="F160">
        <v>320.71899999999999</v>
      </c>
      <c r="G160">
        <v>185</v>
      </c>
      <c r="H160">
        <v>589</v>
      </c>
      <c r="I160">
        <v>10010.344999999999</v>
      </c>
      <c r="J160">
        <v>379090</v>
      </c>
      <c r="P160" s="7">
        <f t="shared" ref="P160" si="606">O159/N161</f>
        <v>1.2048222575329075</v>
      </c>
    </row>
    <row r="161" spans="2:16" x14ac:dyDescent="0.2">
      <c r="B161" s="10"/>
      <c r="D161" t="s">
        <v>2</v>
      </c>
      <c r="E161">
        <v>52.231999999999999</v>
      </c>
      <c r="F161">
        <v>554.452</v>
      </c>
      <c r="G161">
        <v>190</v>
      </c>
      <c r="H161">
        <v>1266</v>
      </c>
      <c r="I161">
        <v>28959.919000000002</v>
      </c>
      <c r="J161">
        <v>1096707</v>
      </c>
      <c r="L161">
        <f t="shared" ref="L161" si="607">E161-E160</f>
        <v>21.02</v>
      </c>
      <c r="M161">
        <f t="shared" ref="M161" si="608">J161-J159</f>
        <v>393225</v>
      </c>
      <c r="N161">
        <f t="shared" ref="N161" si="609">M161/L161</f>
        <v>18707.183634633682</v>
      </c>
    </row>
    <row r="162" spans="2:16" x14ac:dyDescent="0.2">
      <c r="B162" s="2" t="s">
        <v>12</v>
      </c>
      <c r="D162" t="s">
        <v>1</v>
      </c>
      <c r="E162">
        <v>30.71</v>
      </c>
      <c r="F162">
        <v>727.33799999999997</v>
      </c>
      <c r="G162">
        <v>405</v>
      </c>
      <c r="H162">
        <v>1345</v>
      </c>
      <c r="I162">
        <v>22336.887999999999</v>
      </c>
      <c r="J162">
        <v>845894</v>
      </c>
      <c r="O162">
        <f t="shared" ref="O162" si="610">J162/E162</f>
        <v>27544.578313253012</v>
      </c>
    </row>
    <row r="163" spans="2:16" x14ac:dyDescent="0.2">
      <c r="B163" s="2"/>
      <c r="D163" t="s">
        <v>3</v>
      </c>
      <c r="E163">
        <v>30.71</v>
      </c>
      <c r="F163">
        <v>1051.529</v>
      </c>
      <c r="G163">
        <v>400</v>
      </c>
      <c r="H163">
        <v>2073</v>
      </c>
      <c r="I163">
        <v>32292.942999999999</v>
      </c>
      <c r="J163">
        <v>1222928</v>
      </c>
      <c r="P163" s="4">
        <f t="shared" ref="P163" si="611">O162/N164</f>
        <v>1.1909293039260764</v>
      </c>
    </row>
    <row r="164" spans="2:16" x14ac:dyDescent="0.2">
      <c r="B164" s="2"/>
      <c r="D164" t="s">
        <v>2</v>
      </c>
      <c r="E164">
        <v>43.543999999999997</v>
      </c>
      <c r="F164">
        <v>692.98199999999997</v>
      </c>
      <c r="G164">
        <v>405</v>
      </c>
      <c r="H164">
        <v>1345</v>
      </c>
      <c r="I164">
        <v>30175.134999999998</v>
      </c>
      <c r="J164">
        <v>1142727</v>
      </c>
      <c r="L164">
        <f t="shared" ref="L164" si="612">E164-E163</f>
        <v>12.833999999999996</v>
      </c>
      <c r="M164">
        <f t="shared" ref="M164" si="613">J164-J162</f>
        <v>296833</v>
      </c>
      <c r="N164">
        <f t="shared" ref="N164" si="614">M164/L164</f>
        <v>23128.642667913362</v>
      </c>
    </row>
    <row r="165" spans="2:16" x14ac:dyDescent="0.2">
      <c r="B165" s="2" t="s">
        <v>12</v>
      </c>
      <c r="D165" t="s">
        <v>1</v>
      </c>
      <c r="E165">
        <v>33.14</v>
      </c>
      <c r="F165">
        <v>534.37900000000002</v>
      </c>
      <c r="G165">
        <v>236</v>
      </c>
      <c r="H165">
        <v>1724</v>
      </c>
      <c r="I165">
        <v>17709.245999999999</v>
      </c>
      <c r="J165">
        <v>670646</v>
      </c>
      <c r="O165">
        <f t="shared" ref="O165" si="615">J165/E165</f>
        <v>20236.753168376585</v>
      </c>
    </row>
    <row r="166" spans="2:16" x14ac:dyDescent="0.2">
      <c r="B166" s="2"/>
      <c r="D166" t="s">
        <v>3</v>
      </c>
      <c r="E166">
        <v>33.14</v>
      </c>
      <c r="F166">
        <v>587.43700000000001</v>
      </c>
      <c r="G166">
        <v>294</v>
      </c>
      <c r="H166">
        <v>1999</v>
      </c>
      <c r="I166">
        <v>19467.559000000001</v>
      </c>
      <c r="J166">
        <v>737233</v>
      </c>
      <c r="P166" s="4">
        <f t="shared" ref="P166" si="616">O165/N167</f>
        <v>0.72353013672533917</v>
      </c>
    </row>
    <row r="167" spans="2:16" x14ac:dyDescent="0.2">
      <c r="B167" s="2"/>
      <c r="D167" t="s">
        <v>2</v>
      </c>
      <c r="E167">
        <v>56.853000000000002</v>
      </c>
      <c r="F167">
        <v>619.548</v>
      </c>
      <c r="G167">
        <v>236</v>
      </c>
      <c r="H167">
        <v>2124</v>
      </c>
      <c r="I167">
        <v>35222.927000000003</v>
      </c>
      <c r="J167">
        <v>1333886</v>
      </c>
      <c r="L167">
        <f t="shared" ref="L167" si="617">E167-E166</f>
        <v>23.713000000000001</v>
      </c>
      <c r="M167">
        <f t="shared" ref="M167" si="618">J167-J165</f>
        <v>663240</v>
      </c>
      <c r="N167">
        <f t="shared" ref="N167" si="619">M167/L167</f>
        <v>27969.46822418083</v>
      </c>
    </row>
    <row r="168" spans="2:16" x14ac:dyDescent="0.2">
      <c r="B168" s="10" t="s">
        <v>10</v>
      </c>
      <c r="D168" t="s">
        <v>1</v>
      </c>
      <c r="E168">
        <v>38.869999999999997</v>
      </c>
      <c r="F168">
        <v>814.80100000000004</v>
      </c>
      <c r="G168">
        <v>493</v>
      </c>
      <c r="H168">
        <v>1268</v>
      </c>
      <c r="I168">
        <v>31671.312999999998</v>
      </c>
      <c r="J168">
        <v>1199387</v>
      </c>
      <c r="O168">
        <f t="shared" ref="O168" si="620">J168/E168</f>
        <v>30856.367378440958</v>
      </c>
    </row>
    <row r="169" spans="2:16" x14ac:dyDescent="0.2">
      <c r="B169" s="10"/>
      <c r="D169" t="s">
        <v>3</v>
      </c>
      <c r="E169">
        <v>38.869999999999997</v>
      </c>
      <c r="F169">
        <v>300.93200000000002</v>
      </c>
      <c r="G169">
        <v>192</v>
      </c>
      <c r="H169">
        <v>549</v>
      </c>
      <c r="I169">
        <v>11697.228999999999</v>
      </c>
      <c r="J169">
        <v>442972</v>
      </c>
      <c r="P169">
        <f t="shared" ref="P169" si="621">O168/N170</f>
        <v>1.136773976191517</v>
      </c>
    </row>
    <row r="170" spans="2:16" x14ac:dyDescent="0.2">
      <c r="B170" s="10"/>
      <c r="D170" t="s">
        <v>2</v>
      </c>
      <c r="E170">
        <v>81.066999999999993</v>
      </c>
      <c r="F170">
        <v>763.77</v>
      </c>
      <c r="G170">
        <v>292</v>
      </c>
      <c r="H170">
        <v>1474</v>
      </c>
      <c r="I170">
        <v>61916.688000000002</v>
      </c>
      <c r="J170">
        <v>2344774</v>
      </c>
      <c r="L170">
        <f t="shared" ref="L170" si="622">E170-E169</f>
        <v>42.196999999999996</v>
      </c>
      <c r="M170">
        <f t="shared" ref="M170" si="623">J170-J168</f>
        <v>1145387</v>
      </c>
      <c r="N170">
        <f t="shared" ref="N170" si="624">M170/L170</f>
        <v>27143.801692063418</v>
      </c>
    </row>
    <row r="171" spans="2:16" x14ac:dyDescent="0.2">
      <c r="B171" s="2" t="s">
        <v>12</v>
      </c>
      <c r="D171" t="s">
        <v>1</v>
      </c>
      <c r="E171">
        <v>34.195999999999998</v>
      </c>
      <c r="F171">
        <v>486.96100000000001</v>
      </c>
      <c r="G171">
        <v>210</v>
      </c>
      <c r="H171">
        <v>887</v>
      </c>
      <c r="I171">
        <v>16652.177</v>
      </c>
      <c r="J171">
        <v>630615</v>
      </c>
      <c r="O171">
        <f t="shared" ref="O171" si="625">J171/E171</f>
        <v>18441.19195227512</v>
      </c>
    </row>
    <row r="172" spans="2:16" x14ac:dyDescent="0.2">
      <c r="B172" s="2"/>
      <c r="D172" t="s">
        <v>3</v>
      </c>
      <c r="E172">
        <v>34.195999999999998</v>
      </c>
      <c r="F172">
        <v>250.614</v>
      </c>
      <c r="G172">
        <v>164</v>
      </c>
      <c r="H172">
        <v>360</v>
      </c>
      <c r="I172">
        <v>8570.0159999999996</v>
      </c>
      <c r="J172">
        <v>324545</v>
      </c>
      <c r="P172" s="4">
        <f t="shared" ref="P172" si="626">O171/N173</f>
        <v>1.1740812354092334</v>
      </c>
    </row>
    <row r="173" spans="2:16" x14ac:dyDescent="0.2">
      <c r="B173" s="2"/>
      <c r="D173" t="s">
        <v>2</v>
      </c>
      <c r="E173">
        <v>68.551000000000002</v>
      </c>
      <c r="F173">
        <v>450.78</v>
      </c>
      <c r="G173">
        <v>208</v>
      </c>
      <c r="H173">
        <v>887</v>
      </c>
      <c r="I173">
        <v>30901.279999999999</v>
      </c>
      <c r="J173">
        <v>1170226</v>
      </c>
      <c r="L173">
        <f t="shared" ref="L173" si="627">E173-E172</f>
        <v>34.355000000000004</v>
      </c>
      <c r="M173">
        <f t="shared" ref="M173" si="628">J173-J171</f>
        <v>539611</v>
      </c>
      <c r="N173">
        <f t="shared" ref="N173" si="629">M173/L173</f>
        <v>15706.913113083974</v>
      </c>
    </row>
    <row r="174" spans="2:16" x14ac:dyDescent="0.2">
      <c r="B174" s="10" t="s">
        <v>10</v>
      </c>
      <c r="D174" t="s">
        <v>1</v>
      </c>
      <c r="E174">
        <v>64.405000000000001</v>
      </c>
      <c r="F174">
        <v>847.80600000000004</v>
      </c>
      <c r="G174">
        <v>435</v>
      </c>
      <c r="H174">
        <v>1979</v>
      </c>
      <c r="I174">
        <v>54602.843999999997</v>
      </c>
      <c r="J174">
        <v>2067800</v>
      </c>
      <c r="O174">
        <f t="shared" ref="O174" si="630">J174/E174</f>
        <v>32106.202934554771</v>
      </c>
    </row>
    <row r="175" spans="2:16" x14ac:dyDescent="0.2">
      <c r="B175" s="10"/>
      <c r="D175" t="s">
        <v>3</v>
      </c>
      <c r="E175">
        <v>64.405000000000001</v>
      </c>
      <c r="F175">
        <v>284.44400000000002</v>
      </c>
      <c r="G175">
        <v>166</v>
      </c>
      <c r="H175">
        <v>481</v>
      </c>
      <c r="I175">
        <v>18319.546999999999</v>
      </c>
      <c r="J175">
        <v>693758</v>
      </c>
      <c r="P175">
        <f t="shared" ref="P175" si="631">O174/N176</f>
        <v>1.0329734278858274</v>
      </c>
    </row>
    <row r="176" spans="2:16" x14ac:dyDescent="0.2">
      <c r="B176" s="10"/>
      <c r="D176" t="s">
        <v>2</v>
      </c>
      <c r="E176">
        <v>123.819</v>
      </c>
      <c r="F176">
        <v>834.81899999999996</v>
      </c>
      <c r="G176">
        <v>435</v>
      </c>
      <c r="H176">
        <v>1979</v>
      </c>
      <c r="I176">
        <v>103366.394</v>
      </c>
      <c r="J176">
        <v>3914467</v>
      </c>
      <c r="L176">
        <f t="shared" ref="L176" si="632">E176-E175</f>
        <v>59.414000000000001</v>
      </c>
      <c r="M176">
        <f t="shared" ref="M176" si="633">J176-J174</f>
        <v>1846667</v>
      </c>
      <c r="N176">
        <f t="shared" ref="N176" si="634">M176/L176</f>
        <v>31081.34446426768</v>
      </c>
    </row>
    <row r="177" spans="1:16" x14ac:dyDescent="0.2">
      <c r="B177" s="2" t="s">
        <v>12</v>
      </c>
      <c r="D177" t="s">
        <v>1</v>
      </c>
      <c r="E177">
        <v>29.469000000000001</v>
      </c>
      <c r="F177">
        <v>763.85299999999995</v>
      </c>
      <c r="G177">
        <v>309</v>
      </c>
      <c r="H177">
        <v>1949</v>
      </c>
      <c r="I177">
        <v>22510.272000000001</v>
      </c>
      <c r="J177">
        <v>852460</v>
      </c>
      <c r="O177">
        <f t="shared" ref="O177" si="635">J177/E177</f>
        <v>28927.347381994638</v>
      </c>
    </row>
    <row r="178" spans="1:16" x14ac:dyDescent="0.2">
      <c r="B178" s="2"/>
      <c r="D178" t="s">
        <v>3</v>
      </c>
      <c r="E178">
        <v>29.469000000000001</v>
      </c>
      <c r="F178">
        <v>1075.3869999999999</v>
      </c>
      <c r="G178">
        <v>379</v>
      </c>
      <c r="H178">
        <v>2398</v>
      </c>
      <c r="I178">
        <v>31690.986000000001</v>
      </c>
      <c r="J178">
        <v>1200132</v>
      </c>
      <c r="P178" s="4">
        <f t="shared" ref="P178" si="636">O177/N179</f>
        <v>1.0586304373696738</v>
      </c>
    </row>
    <row r="179" spans="1:16" x14ac:dyDescent="0.2">
      <c r="B179" s="2"/>
      <c r="D179" t="s">
        <v>2</v>
      </c>
      <c r="E179">
        <v>72.881</v>
      </c>
      <c r="F179">
        <v>738.66099999999994</v>
      </c>
      <c r="G179">
        <v>240</v>
      </c>
      <c r="H179">
        <v>2398</v>
      </c>
      <c r="I179">
        <v>53834.527999999998</v>
      </c>
      <c r="J179">
        <v>2038704</v>
      </c>
      <c r="L179">
        <f t="shared" ref="L179" si="637">E179-E178</f>
        <v>43.411999999999999</v>
      </c>
      <c r="M179">
        <f t="shared" ref="M179" si="638">J179-J177</f>
        <v>1186244</v>
      </c>
      <c r="N179">
        <f t="shared" ref="N179" si="639">M179/L179</f>
        <v>27325.255689671059</v>
      </c>
    </row>
    <row r="180" spans="1:16" x14ac:dyDescent="0.2">
      <c r="A180" t="s">
        <v>17</v>
      </c>
      <c r="B180" s="10" t="s">
        <v>10</v>
      </c>
      <c r="D180" t="s">
        <v>1</v>
      </c>
      <c r="E180">
        <v>41.853999999999999</v>
      </c>
      <c r="F180">
        <v>589.78</v>
      </c>
      <c r="G180">
        <v>202</v>
      </c>
      <c r="H180">
        <v>1278</v>
      </c>
      <c r="I180">
        <v>24684.589</v>
      </c>
      <c r="J180">
        <v>934801</v>
      </c>
      <c r="O180">
        <f t="shared" ref="O180" si="640">J180/E180</f>
        <v>22334.806709036173</v>
      </c>
    </row>
    <row r="181" spans="1:16" x14ac:dyDescent="0.2">
      <c r="B181" s="10"/>
      <c r="D181" t="s">
        <v>3</v>
      </c>
      <c r="E181">
        <v>41.853999999999999</v>
      </c>
      <c r="F181">
        <v>249.018</v>
      </c>
      <c r="G181">
        <v>161</v>
      </c>
      <c r="H181">
        <v>365</v>
      </c>
      <c r="I181">
        <v>10422.361999999999</v>
      </c>
      <c r="J181">
        <v>394693</v>
      </c>
      <c r="P181">
        <f t="shared" ref="P181" si="641">O180/N182</f>
        <v>3.8660026412951449</v>
      </c>
    </row>
    <row r="182" spans="1:16" x14ac:dyDescent="0.2">
      <c r="B182" s="10"/>
      <c r="D182" t="s">
        <v>2</v>
      </c>
      <c r="E182">
        <v>51.07</v>
      </c>
      <c r="F182">
        <v>510.88099999999997</v>
      </c>
      <c r="G182">
        <v>154</v>
      </c>
      <c r="H182">
        <v>1232</v>
      </c>
      <c r="I182">
        <v>26090.537</v>
      </c>
      <c r="J182">
        <v>988044</v>
      </c>
      <c r="L182">
        <f t="shared" ref="L182" si="642">E182-E181</f>
        <v>9.2160000000000011</v>
      </c>
      <c r="M182">
        <f t="shared" ref="M182" si="643">J182-J180</f>
        <v>53243</v>
      </c>
      <c r="N182">
        <f t="shared" ref="N182" si="644">M182/L182</f>
        <v>5777.2352430555547</v>
      </c>
    </row>
    <row r="183" spans="1:16" x14ac:dyDescent="0.2">
      <c r="B183" s="10" t="s">
        <v>10</v>
      </c>
      <c r="D183" t="s">
        <v>1</v>
      </c>
      <c r="E183">
        <v>45.366</v>
      </c>
      <c r="F183">
        <v>530.49400000000003</v>
      </c>
      <c r="G183">
        <v>285</v>
      </c>
      <c r="H183">
        <v>1072</v>
      </c>
      <c r="I183">
        <v>24066.366000000002</v>
      </c>
      <c r="J183">
        <v>911389</v>
      </c>
      <c r="O183">
        <f t="shared" ref="O183" si="645">J183/E183</f>
        <v>20089.692721421328</v>
      </c>
    </row>
    <row r="184" spans="1:16" x14ac:dyDescent="0.2">
      <c r="B184" s="10"/>
      <c r="D184" t="s">
        <v>3</v>
      </c>
      <c r="E184">
        <v>45.366</v>
      </c>
      <c r="F184">
        <v>274.33800000000002</v>
      </c>
      <c r="G184">
        <v>171</v>
      </c>
      <c r="H184">
        <v>494</v>
      </c>
      <c r="I184">
        <v>12445.609</v>
      </c>
      <c r="J184">
        <v>471313</v>
      </c>
      <c r="P184" s="7">
        <f t="shared" ref="P184" si="646">O183/N185</f>
        <v>1.440268528274782</v>
      </c>
    </row>
    <row r="185" spans="1:16" x14ac:dyDescent="0.2">
      <c r="B185" s="10"/>
      <c r="D185" t="s">
        <v>2</v>
      </c>
      <c r="E185">
        <v>70.373000000000005</v>
      </c>
      <c r="F185">
        <v>472.87099999999998</v>
      </c>
      <c r="G185">
        <v>177</v>
      </c>
      <c r="H185">
        <v>848</v>
      </c>
      <c r="I185">
        <v>33277.182999999997</v>
      </c>
      <c r="J185">
        <v>1260201</v>
      </c>
      <c r="L185">
        <f t="shared" ref="L185" si="647">E185-E184</f>
        <v>25.007000000000005</v>
      </c>
      <c r="M185">
        <f t="shared" ref="M185" si="648">J185-J183</f>
        <v>348812</v>
      </c>
      <c r="N185">
        <f t="shared" ref="N185" si="649">M185/L185</f>
        <v>13948.57439916823</v>
      </c>
    </row>
    <row r="186" spans="1:16" x14ac:dyDescent="0.2">
      <c r="B186" s="10" t="s">
        <v>10</v>
      </c>
      <c r="D186" t="s">
        <v>1</v>
      </c>
      <c r="E186">
        <v>49.591000000000001</v>
      </c>
      <c r="F186">
        <v>635.97900000000004</v>
      </c>
      <c r="G186">
        <v>351</v>
      </c>
      <c r="H186">
        <v>957</v>
      </c>
      <c r="I186">
        <v>31538.78</v>
      </c>
      <c r="J186">
        <v>1194368</v>
      </c>
      <c r="O186">
        <f t="shared" ref="O186" si="650">J186/E186</f>
        <v>24084.370147809077</v>
      </c>
    </row>
    <row r="187" spans="1:16" x14ac:dyDescent="0.2">
      <c r="B187" s="10"/>
      <c r="D187" t="s">
        <v>3</v>
      </c>
      <c r="E187">
        <v>49.591000000000001</v>
      </c>
      <c r="F187">
        <v>272.03699999999998</v>
      </c>
      <c r="G187">
        <v>162</v>
      </c>
      <c r="H187">
        <v>486</v>
      </c>
      <c r="I187">
        <v>13490.583000000001</v>
      </c>
      <c r="J187">
        <v>510886</v>
      </c>
      <c r="P187">
        <f t="shared" ref="P187" si="651">O186/N188</f>
        <v>-4.4204518911849471</v>
      </c>
    </row>
    <row r="188" spans="1:16" x14ac:dyDescent="0.2">
      <c r="B188" s="10"/>
      <c r="D188" t="s">
        <v>2</v>
      </c>
      <c r="E188">
        <v>53.05</v>
      </c>
      <c r="F188">
        <v>585.12800000000004</v>
      </c>
      <c r="G188">
        <v>330</v>
      </c>
      <c r="H188">
        <v>1075</v>
      </c>
      <c r="I188">
        <v>31041.128000000001</v>
      </c>
      <c r="J188">
        <v>1175522</v>
      </c>
      <c r="L188">
        <f t="shared" ref="L188" si="652">E188-E187</f>
        <v>3.4589999999999961</v>
      </c>
      <c r="M188">
        <f t="shared" ref="M188" si="653">J188-J186</f>
        <v>-18846</v>
      </c>
      <c r="N188">
        <f t="shared" ref="N188" si="654">M188/L188</f>
        <v>-5448.3954900260251</v>
      </c>
    </row>
    <row r="189" spans="1:16" x14ac:dyDescent="0.2">
      <c r="B189" s="2" t="s">
        <v>12</v>
      </c>
      <c r="D189" t="s">
        <v>1</v>
      </c>
      <c r="E189">
        <v>30.684000000000001</v>
      </c>
      <c r="F189">
        <v>600.25900000000001</v>
      </c>
      <c r="G189">
        <v>370</v>
      </c>
      <c r="H189">
        <v>1028</v>
      </c>
      <c r="I189">
        <v>18418.385999999999</v>
      </c>
      <c r="J189">
        <v>697501</v>
      </c>
      <c r="O189">
        <f t="shared" ref="O189" si="655">J189/E189</f>
        <v>22731.749445965324</v>
      </c>
    </row>
    <row r="190" spans="1:16" x14ac:dyDescent="0.2">
      <c r="B190" s="2"/>
      <c r="D190" t="s">
        <v>3</v>
      </c>
      <c r="E190">
        <v>30.684000000000001</v>
      </c>
      <c r="F190">
        <v>748.41300000000001</v>
      </c>
      <c r="G190">
        <v>286</v>
      </c>
      <c r="H190">
        <v>1958</v>
      </c>
      <c r="I190">
        <v>22964.353999999999</v>
      </c>
      <c r="J190">
        <v>869656</v>
      </c>
      <c r="P190" s="4">
        <f t="shared" ref="P190" si="656">O189/N191</f>
        <v>1.0666767367722361</v>
      </c>
    </row>
    <row r="191" spans="1:16" x14ac:dyDescent="0.2">
      <c r="B191" s="2"/>
      <c r="D191" t="s">
        <v>2</v>
      </c>
      <c r="E191">
        <v>52.442999999999998</v>
      </c>
      <c r="F191">
        <v>584.69399999999996</v>
      </c>
      <c r="G191">
        <v>312</v>
      </c>
      <c r="H191">
        <v>1028</v>
      </c>
      <c r="I191">
        <v>30663.017</v>
      </c>
      <c r="J191">
        <v>1161203</v>
      </c>
      <c r="L191">
        <f t="shared" ref="L191" si="657">E191-E190</f>
        <v>21.758999999999997</v>
      </c>
      <c r="M191">
        <f t="shared" ref="M191" si="658">J191-J189</f>
        <v>463702</v>
      </c>
      <c r="N191">
        <f t="shared" ref="N191" si="659">M191/L191</f>
        <v>21310.813916080704</v>
      </c>
    </row>
    <row r="192" spans="1:16" x14ac:dyDescent="0.2">
      <c r="B192" s="10" t="s">
        <v>10</v>
      </c>
      <c r="D192" t="s">
        <v>1</v>
      </c>
      <c r="E192">
        <v>32.4</v>
      </c>
      <c r="F192">
        <v>552.69200000000001</v>
      </c>
      <c r="G192">
        <v>249</v>
      </c>
      <c r="H192">
        <v>1247</v>
      </c>
      <c r="I192">
        <v>17907.477999999999</v>
      </c>
      <c r="J192">
        <v>678153</v>
      </c>
      <c r="O192">
        <f t="shared" ref="O192" si="660">J192/E192</f>
        <v>20930.64814814815</v>
      </c>
    </row>
    <row r="193" spans="2:16" x14ac:dyDescent="0.2">
      <c r="B193" s="10"/>
      <c r="D193" t="s">
        <v>3</v>
      </c>
      <c r="E193">
        <v>32.4</v>
      </c>
      <c r="F193">
        <v>280.97699999999998</v>
      </c>
      <c r="G193">
        <v>181</v>
      </c>
      <c r="H193">
        <v>444</v>
      </c>
      <c r="I193">
        <v>9103.7919999999995</v>
      </c>
      <c r="J193">
        <v>344759</v>
      </c>
      <c r="P193">
        <f t="shared" ref="P193" si="661">O192/N194</f>
        <v>1.1764522293816417</v>
      </c>
    </row>
    <row r="194" spans="2:16" x14ac:dyDescent="0.2">
      <c r="B194" s="10"/>
      <c r="D194" t="s">
        <v>2</v>
      </c>
      <c r="E194">
        <v>44.97</v>
      </c>
      <c r="F194">
        <v>529.53</v>
      </c>
      <c r="G194">
        <v>249</v>
      </c>
      <c r="H194">
        <v>1247</v>
      </c>
      <c r="I194">
        <v>23812.892</v>
      </c>
      <c r="J194">
        <v>901790</v>
      </c>
      <c r="L194">
        <f t="shared" ref="L194" si="662">E194-E193</f>
        <v>12.57</v>
      </c>
      <c r="M194">
        <f t="shared" ref="M194" si="663">J194-J192</f>
        <v>223637</v>
      </c>
      <c r="N194">
        <f t="shared" ref="N194" si="664">M194/L194</f>
        <v>17791.328560063645</v>
      </c>
    </row>
    <row r="195" spans="2:16" x14ac:dyDescent="0.2">
      <c r="B195" s="10" t="s">
        <v>10</v>
      </c>
      <c r="D195" t="s">
        <v>1</v>
      </c>
      <c r="E195">
        <v>32.374000000000002</v>
      </c>
      <c r="F195">
        <v>692.447</v>
      </c>
      <c r="G195">
        <v>304</v>
      </c>
      <c r="H195">
        <v>1191</v>
      </c>
      <c r="I195">
        <v>22417.322</v>
      </c>
      <c r="J195">
        <v>848940</v>
      </c>
      <c r="O195">
        <f t="shared" ref="O195" si="665">J195/E195</f>
        <v>26222.89491567307</v>
      </c>
    </row>
    <row r="196" spans="2:16" x14ac:dyDescent="0.2">
      <c r="B196" s="10"/>
      <c r="D196" t="s">
        <v>3</v>
      </c>
      <c r="E196">
        <v>32.374000000000002</v>
      </c>
      <c r="F196">
        <v>308.12599999999998</v>
      </c>
      <c r="G196">
        <v>184</v>
      </c>
      <c r="H196">
        <v>500</v>
      </c>
      <c r="I196">
        <v>9975.2780000000002</v>
      </c>
      <c r="J196">
        <v>377762</v>
      </c>
      <c r="P196">
        <f t="shared" ref="P196" si="666">O195/N197</f>
        <v>1.0535984564332928</v>
      </c>
    </row>
    <row r="197" spans="2:16" x14ac:dyDescent="0.2">
      <c r="B197" s="10"/>
      <c r="D197" t="s">
        <v>2</v>
      </c>
      <c r="E197">
        <v>67.599999999999994</v>
      </c>
      <c r="F197">
        <v>674.09199999999998</v>
      </c>
      <c r="G197">
        <v>249</v>
      </c>
      <c r="H197">
        <v>1427</v>
      </c>
      <c r="I197">
        <v>45568.631999999998</v>
      </c>
      <c r="J197">
        <v>1725676</v>
      </c>
      <c r="L197">
        <f t="shared" ref="L197" si="667">E197-E196</f>
        <v>35.225999999999992</v>
      </c>
      <c r="M197">
        <f t="shared" ref="M197" si="668">J197-J195</f>
        <v>876736</v>
      </c>
      <c r="N197">
        <f t="shared" ref="N197" si="669">M197/L197</f>
        <v>24888.888888888894</v>
      </c>
    </row>
    <row r="198" spans="2:16" x14ac:dyDescent="0.2">
      <c r="B198" s="2" t="s">
        <v>12</v>
      </c>
      <c r="D198" t="s">
        <v>1</v>
      </c>
      <c r="E198">
        <v>39.134</v>
      </c>
      <c r="F198">
        <v>517.88800000000003</v>
      </c>
      <c r="G198">
        <v>237</v>
      </c>
      <c r="H198">
        <v>1040</v>
      </c>
      <c r="I198">
        <v>20267.061000000002</v>
      </c>
      <c r="J198">
        <v>767510</v>
      </c>
      <c r="O198">
        <f t="shared" ref="O198" si="670">J198/E198</f>
        <v>19612.357540757399</v>
      </c>
    </row>
    <row r="199" spans="2:16" x14ac:dyDescent="0.2">
      <c r="B199" s="2"/>
      <c r="D199" t="s">
        <v>3</v>
      </c>
      <c r="E199">
        <v>39.134</v>
      </c>
      <c r="F199">
        <v>857.33500000000004</v>
      </c>
      <c r="G199">
        <v>352</v>
      </c>
      <c r="H199">
        <v>2226</v>
      </c>
      <c r="I199">
        <v>33550.989000000001</v>
      </c>
      <c r="J199">
        <v>1270570</v>
      </c>
      <c r="P199" s="4">
        <f t="shared" ref="P199" si="671">O198/N200</f>
        <v>0.99175446393565747</v>
      </c>
    </row>
    <row r="200" spans="2:16" x14ac:dyDescent="0.2">
      <c r="B200" s="2"/>
      <c r="D200" t="s">
        <v>2</v>
      </c>
      <c r="E200">
        <v>64.167000000000002</v>
      </c>
      <c r="F200">
        <v>519.56700000000001</v>
      </c>
      <c r="G200">
        <v>237</v>
      </c>
      <c r="H200">
        <v>1377</v>
      </c>
      <c r="I200">
        <v>33339.158000000003</v>
      </c>
      <c r="J200">
        <v>1262548</v>
      </c>
      <c r="L200">
        <f t="shared" ref="L200" si="672">E200-E199</f>
        <v>25.033000000000001</v>
      </c>
      <c r="M200">
        <f t="shared" ref="M200" si="673">J200-J198</f>
        <v>495038</v>
      </c>
      <c r="N200">
        <f t="shared" ref="N200" si="674">M200/L200</f>
        <v>19775.416450285622</v>
      </c>
    </row>
    <row r="201" spans="2:16" x14ac:dyDescent="0.2">
      <c r="B201" s="10" t="s">
        <v>10</v>
      </c>
      <c r="D201" t="s">
        <v>1</v>
      </c>
      <c r="E201">
        <v>40.375</v>
      </c>
      <c r="F201">
        <v>598.63099999999997</v>
      </c>
      <c r="G201">
        <v>206</v>
      </c>
      <c r="H201">
        <v>1100</v>
      </c>
      <c r="I201">
        <v>24169.825000000001</v>
      </c>
      <c r="J201">
        <v>915307</v>
      </c>
      <c r="O201">
        <f t="shared" ref="O201" si="675">J201/E201</f>
        <v>22670.142414860682</v>
      </c>
    </row>
    <row r="202" spans="2:16" x14ac:dyDescent="0.2">
      <c r="B202" s="10"/>
      <c r="D202" t="s">
        <v>3</v>
      </c>
      <c r="E202">
        <v>40.375</v>
      </c>
      <c r="F202">
        <v>325.18599999999998</v>
      </c>
      <c r="G202">
        <v>180</v>
      </c>
      <c r="H202">
        <v>562</v>
      </c>
      <c r="I202">
        <v>13129.424999999999</v>
      </c>
      <c r="J202">
        <v>497209</v>
      </c>
      <c r="P202" s="7">
        <f t="shared" ref="P202" si="676">O201/N203</f>
        <v>0.93416126798192944</v>
      </c>
    </row>
    <row r="203" spans="2:16" x14ac:dyDescent="0.2">
      <c r="B203" s="10"/>
      <c r="D203" t="s">
        <v>2</v>
      </c>
      <c r="E203">
        <v>56.984999999999999</v>
      </c>
      <c r="F203">
        <v>610.93499999999995</v>
      </c>
      <c r="G203">
        <v>206</v>
      </c>
      <c r="H203">
        <v>1468</v>
      </c>
      <c r="I203">
        <v>34813.921000000002</v>
      </c>
      <c r="J203">
        <v>1318397</v>
      </c>
      <c r="L203">
        <f t="shared" ref="L203" si="677">E203-E202</f>
        <v>16.61</v>
      </c>
      <c r="M203">
        <f t="shared" ref="M203" si="678">J203-J201</f>
        <v>403090</v>
      </c>
      <c r="N203">
        <f t="shared" ref="N203" si="679">M203/L203</f>
        <v>24267.910897049969</v>
      </c>
    </row>
    <row r="204" spans="2:16" x14ac:dyDescent="0.2">
      <c r="B204" s="10" t="s">
        <v>10</v>
      </c>
      <c r="D204" t="s">
        <v>1</v>
      </c>
      <c r="E204">
        <v>52.628</v>
      </c>
      <c r="F204">
        <v>578.09100000000001</v>
      </c>
      <c r="G204">
        <v>291</v>
      </c>
      <c r="H204">
        <v>1228</v>
      </c>
      <c r="I204">
        <v>30423.591</v>
      </c>
      <c r="J204">
        <v>1152136</v>
      </c>
      <c r="O204">
        <f t="shared" ref="O204" si="680">J204/E204</f>
        <v>21892.072660940943</v>
      </c>
    </row>
    <row r="205" spans="2:16" x14ac:dyDescent="0.2">
      <c r="B205" s="10"/>
      <c r="D205" t="s">
        <v>3</v>
      </c>
      <c r="E205">
        <v>52.628</v>
      </c>
      <c r="F205">
        <v>271.53300000000002</v>
      </c>
      <c r="G205">
        <v>164</v>
      </c>
      <c r="H205">
        <v>488</v>
      </c>
      <c r="I205">
        <v>14290.165000000001</v>
      </c>
      <c r="J205">
        <v>541166</v>
      </c>
      <c r="P205">
        <f t="shared" ref="P205" si="681">O204/N206</f>
        <v>0.86174224811122613</v>
      </c>
    </row>
    <row r="206" spans="2:16" x14ac:dyDescent="0.2">
      <c r="B206" s="10"/>
      <c r="D206" t="s">
        <v>2</v>
      </c>
      <c r="E206">
        <v>64.405000000000001</v>
      </c>
      <c r="F206">
        <v>595.04899999999998</v>
      </c>
      <c r="G206">
        <v>292</v>
      </c>
      <c r="H206">
        <v>1228</v>
      </c>
      <c r="I206">
        <v>38324.023999999998</v>
      </c>
      <c r="J206">
        <v>1451324</v>
      </c>
      <c r="L206">
        <f t="shared" ref="L206" si="682">E206-E205</f>
        <v>11.777000000000001</v>
      </c>
      <c r="M206">
        <f t="shared" ref="M206" si="683">J206-J204</f>
        <v>299188</v>
      </c>
      <c r="N206">
        <f t="shared" ref="N206" si="684">M206/L206</f>
        <v>25404.432368175254</v>
      </c>
    </row>
    <row r="207" spans="2:16" x14ac:dyDescent="0.2">
      <c r="B207" s="10" t="s">
        <v>10</v>
      </c>
      <c r="D207" t="s">
        <v>1</v>
      </c>
      <c r="E207">
        <v>40.639000000000003</v>
      </c>
      <c r="F207">
        <v>647.57399999999996</v>
      </c>
      <c r="G207">
        <v>345</v>
      </c>
      <c r="H207">
        <v>1134</v>
      </c>
      <c r="I207">
        <v>26316.891</v>
      </c>
      <c r="J207">
        <v>996616</v>
      </c>
      <c r="O207">
        <f t="shared" ref="O207" si="685">J207/E207</f>
        <v>24523.634931961908</v>
      </c>
    </row>
    <row r="208" spans="2:16" x14ac:dyDescent="0.2">
      <c r="B208" s="10"/>
      <c r="D208" t="s">
        <v>3</v>
      </c>
      <c r="E208">
        <v>40.639000000000003</v>
      </c>
      <c r="F208">
        <v>257.46499999999997</v>
      </c>
      <c r="G208">
        <v>161</v>
      </c>
      <c r="H208">
        <v>408</v>
      </c>
      <c r="I208">
        <v>10463.16</v>
      </c>
      <c r="J208">
        <v>396238</v>
      </c>
      <c r="P208">
        <f t="shared" ref="P208" si="686">O207/N209</f>
        <v>0.29046025581619972</v>
      </c>
    </row>
    <row r="209" spans="1:16" x14ac:dyDescent="0.2">
      <c r="B209" s="10"/>
      <c r="D209" t="s">
        <v>2</v>
      </c>
      <c r="E209">
        <v>41.061999999999998</v>
      </c>
      <c r="F209">
        <v>663.87800000000004</v>
      </c>
      <c r="G209">
        <v>390</v>
      </c>
      <c r="H209">
        <v>1158</v>
      </c>
      <c r="I209">
        <v>27259.964</v>
      </c>
      <c r="J209">
        <v>1032330</v>
      </c>
      <c r="L209">
        <f t="shared" ref="L209" si="687">E209-E208</f>
        <v>0.42299999999999471</v>
      </c>
      <c r="M209">
        <f t="shared" ref="M209" si="688">J209-J207</f>
        <v>35714</v>
      </c>
      <c r="N209">
        <f t="shared" ref="N209" si="689">M209/L209</f>
        <v>84430.260047282383</v>
      </c>
    </row>
    <row r="210" spans="1:16" x14ac:dyDescent="0.2">
      <c r="B210" s="2" t="s">
        <v>12</v>
      </c>
      <c r="D210" t="s">
        <v>1</v>
      </c>
      <c r="E210">
        <v>52.76</v>
      </c>
      <c r="F210">
        <v>500.74400000000003</v>
      </c>
      <c r="G210">
        <v>233</v>
      </c>
      <c r="H210">
        <v>1170</v>
      </c>
      <c r="I210">
        <v>26419.11</v>
      </c>
      <c r="J210">
        <v>1000487</v>
      </c>
      <c r="O210">
        <f t="shared" ref="O210" si="690">J210/E210</f>
        <v>18962.983320697498</v>
      </c>
    </row>
    <row r="211" spans="1:16" x14ac:dyDescent="0.2">
      <c r="B211" s="2"/>
      <c r="D211" t="s">
        <v>3</v>
      </c>
      <c r="E211">
        <v>52.76</v>
      </c>
      <c r="F211">
        <v>707.81500000000005</v>
      </c>
      <c r="G211">
        <v>218</v>
      </c>
      <c r="H211">
        <v>1493</v>
      </c>
      <c r="I211">
        <v>37344.114999999998</v>
      </c>
      <c r="J211">
        <v>1414215</v>
      </c>
      <c r="P211" s="4">
        <f t="shared" ref="P211" si="691">O210/N212</f>
        <v>0.97602320419253552</v>
      </c>
    </row>
    <row r="212" spans="1:16" x14ac:dyDescent="0.2">
      <c r="B212" s="2"/>
      <c r="D212" t="s">
        <v>2</v>
      </c>
      <c r="E212">
        <v>88.355000000000004</v>
      </c>
      <c r="F212">
        <v>505.69499999999999</v>
      </c>
      <c r="G212">
        <v>203</v>
      </c>
      <c r="H212">
        <v>1170</v>
      </c>
      <c r="I212">
        <v>44680.853999999999</v>
      </c>
      <c r="J212">
        <v>1692056</v>
      </c>
      <c r="L212">
        <f t="shared" ref="L212" si="692">E212-E211</f>
        <v>35.595000000000006</v>
      </c>
      <c r="M212">
        <f t="shared" ref="M212" si="693">J212-J210</f>
        <v>691569</v>
      </c>
      <c r="N212">
        <f t="shared" ref="N212" si="694">M212/L212</f>
        <v>19428.824273072056</v>
      </c>
    </row>
    <row r="213" spans="1:16" x14ac:dyDescent="0.2">
      <c r="B213" s="10" t="s">
        <v>10</v>
      </c>
      <c r="D213" t="s">
        <v>1</v>
      </c>
      <c r="E213">
        <v>52.496000000000002</v>
      </c>
      <c r="F213">
        <v>694.90800000000002</v>
      </c>
      <c r="G213">
        <v>205</v>
      </c>
      <c r="H213">
        <v>2101</v>
      </c>
      <c r="I213">
        <v>36479.652999999998</v>
      </c>
      <c r="J213">
        <v>1381478</v>
      </c>
      <c r="O213">
        <f t="shared" ref="O213" si="695">J213/E213</f>
        <v>26315.871685461749</v>
      </c>
    </row>
    <row r="214" spans="1:16" x14ac:dyDescent="0.2">
      <c r="B214" s="10"/>
      <c r="D214" t="s">
        <v>3</v>
      </c>
      <c r="E214">
        <v>52.496000000000002</v>
      </c>
      <c r="F214">
        <v>327.58600000000001</v>
      </c>
      <c r="G214">
        <v>186</v>
      </c>
      <c r="H214">
        <v>583</v>
      </c>
      <c r="I214">
        <v>17196.806</v>
      </c>
      <c r="J214">
        <v>651240</v>
      </c>
      <c r="P214">
        <f t="shared" ref="P214" si="696">O213/N215</f>
        <v>1.1154305185499807</v>
      </c>
    </row>
    <row r="215" spans="1:16" x14ac:dyDescent="0.2">
      <c r="B215" s="10"/>
      <c r="D215" t="s">
        <v>2</v>
      </c>
      <c r="E215">
        <v>76.234999999999999</v>
      </c>
      <c r="F215">
        <v>672.51199999999994</v>
      </c>
      <c r="G215">
        <v>209</v>
      </c>
      <c r="H215">
        <v>2101</v>
      </c>
      <c r="I215">
        <v>51268.843000000001</v>
      </c>
      <c r="J215">
        <v>1941542</v>
      </c>
      <c r="L215">
        <f t="shared" ref="L215" si="697">E215-E214</f>
        <v>23.738999999999997</v>
      </c>
      <c r="M215">
        <f t="shared" ref="M215" si="698">J215-J213</f>
        <v>560064</v>
      </c>
      <c r="N215">
        <f t="shared" ref="N215" si="699">M215/L215</f>
        <v>23592.569189940608</v>
      </c>
    </row>
    <row r="216" spans="1:16" x14ac:dyDescent="0.2">
      <c r="B216" s="10" t="s">
        <v>10</v>
      </c>
      <c r="D216" t="s">
        <v>1</v>
      </c>
      <c r="E216">
        <v>46.369</v>
      </c>
      <c r="F216">
        <v>696.26400000000001</v>
      </c>
      <c r="G216">
        <v>299</v>
      </c>
      <c r="H216">
        <v>1499</v>
      </c>
      <c r="I216">
        <v>32285.338</v>
      </c>
      <c r="J216">
        <v>1222640</v>
      </c>
      <c r="O216">
        <f t="shared" ref="O216" si="700">J216/E216</f>
        <v>26367.616295369753</v>
      </c>
    </row>
    <row r="217" spans="1:16" x14ac:dyDescent="0.2">
      <c r="B217" s="10"/>
      <c r="D217" t="s">
        <v>3</v>
      </c>
      <c r="E217">
        <v>46.369</v>
      </c>
      <c r="F217">
        <v>324.88400000000001</v>
      </c>
      <c r="G217">
        <v>186</v>
      </c>
      <c r="H217">
        <v>483</v>
      </c>
      <c r="I217">
        <v>15064.66</v>
      </c>
      <c r="J217">
        <v>570496</v>
      </c>
      <c r="P217">
        <f t="shared" ref="P217" si="701">O216/N218</f>
        <v>0.87382670146559693</v>
      </c>
    </row>
    <row r="218" spans="1:16" x14ac:dyDescent="0.2">
      <c r="B218" s="10"/>
      <c r="D218" t="s">
        <v>2</v>
      </c>
      <c r="E218">
        <v>70.637</v>
      </c>
      <c r="F218">
        <v>730.81299999999999</v>
      </c>
      <c r="G218">
        <v>288</v>
      </c>
      <c r="H218">
        <v>1499</v>
      </c>
      <c r="I218">
        <v>51622.212</v>
      </c>
      <c r="J218">
        <v>1954924</v>
      </c>
      <c r="L218">
        <f t="shared" ref="L218" si="702">E218-E217</f>
        <v>24.268000000000001</v>
      </c>
      <c r="M218">
        <f t="shared" ref="M218" si="703">J218-J216</f>
        <v>732284</v>
      </c>
      <c r="N218">
        <f t="shared" ref="N218" si="704">M218/L218</f>
        <v>30174.88050107137</v>
      </c>
    </row>
    <row r="219" spans="1:16" x14ac:dyDescent="0.2">
      <c r="A219" s="1" t="s">
        <v>18</v>
      </c>
      <c r="B219" s="1" t="s">
        <v>10</v>
      </c>
      <c r="D219" t="s">
        <v>1</v>
      </c>
      <c r="E219">
        <v>25.798999999999999</v>
      </c>
      <c r="F219">
        <v>752.53399999999999</v>
      </c>
      <c r="G219">
        <v>234</v>
      </c>
      <c r="H219">
        <v>1381</v>
      </c>
      <c r="I219">
        <v>19414.562000000002</v>
      </c>
      <c r="J219">
        <v>735226</v>
      </c>
      <c r="O219">
        <f t="shared" ref="O219" si="705">J219/E219</f>
        <v>28498.23636575061</v>
      </c>
    </row>
    <row r="220" spans="1:16" x14ac:dyDescent="0.2">
      <c r="A220" s="1"/>
      <c r="B220" s="1"/>
      <c r="D220" t="s">
        <v>3</v>
      </c>
      <c r="E220">
        <v>25.798999999999999</v>
      </c>
      <c r="F220">
        <v>317.74200000000002</v>
      </c>
      <c r="G220">
        <v>191</v>
      </c>
      <c r="H220">
        <v>561</v>
      </c>
      <c r="I220">
        <v>8197.3979999999992</v>
      </c>
      <c r="J220">
        <v>310434</v>
      </c>
      <c r="P220">
        <f t="shared" ref="P220" si="706">O219/N221</f>
        <v>1.0878253179846979</v>
      </c>
    </row>
    <row r="221" spans="1:16" x14ac:dyDescent="0.2">
      <c r="A221" s="1"/>
      <c r="B221" s="1"/>
      <c r="D221" t="s">
        <v>2</v>
      </c>
      <c r="E221">
        <v>32.981000000000002</v>
      </c>
      <c r="F221">
        <v>739.29200000000003</v>
      </c>
      <c r="G221">
        <v>410</v>
      </c>
      <c r="H221">
        <v>1381</v>
      </c>
      <c r="I221">
        <v>24382.897000000001</v>
      </c>
      <c r="J221">
        <v>923376</v>
      </c>
      <c r="L221">
        <f t="shared" ref="L221" si="707">E221-E220</f>
        <v>7.1820000000000022</v>
      </c>
      <c r="M221">
        <f t="shared" ref="M221" si="708">J221-J219</f>
        <v>188150</v>
      </c>
      <c r="N221">
        <f t="shared" ref="N221" si="709">M221/L221</f>
        <v>26197.438039543296</v>
      </c>
    </row>
    <row r="222" spans="1:16" x14ac:dyDescent="0.2">
      <c r="A222" s="1"/>
      <c r="B222" s="1" t="s">
        <v>10</v>
      </c>
      <c r="D222" t="s">
        <v>1</v>
      </c>
      <c r="E222">
        <v>22.841000000000001</v>
      </c>
      <c r="F222">
        <v>646.928</v>
      </c>
      <c r="G222">
        <v>331</v>
      </c>
      <c r="H222">
        <v>1243</v>
      </c>
      <c r="I222">
        <v>14776.753000000001</v>
      </c>
      <c r="J222">
        <v>559593</v>
      </c>
      <c r="O222">
        <f t="shared" ref="O222" si="710">J222/E222</f>
        <v>24499.496519416836</v>
      </c>
    </row>
    <row r="223" spans="1:16" x14ac:dyDescent="0.2">
      <c r="A223" s="1"/>
      <c r="B223" s="1"/>
      <c r="D223" t="s">
        <v>3</v>
      </c>
      <c r="E223">
        <v>22.841000000000001</v>
      </c>
      <c r="F223">
        <v>304.56</v>
      </c>
      <c r="G223">
        <v>183</v>
      </c>
      <c r="H223">
        <v>547</v>
      </c>
      <c r="I223">
        <v>6956.5680000000002</v>
      </c>
      <c r="J223">
        <v>263444</v>
      </c>
      <c r="P223">
        <f t="shared" ref="P223" si="711">O222/N224</f>
        <v>0.90755108816890551</v>
      </c>
    </row>
    <row r="224" spans="1:16" x14ac:dyDescent="0.2">
      <c r="A224" s="1"/>
      <c r="B224" s="1"/>
      <c r="D224" t="s">
        <v>2</v>
      </c>
      <c r="E224">
        <v>31.952000000000002</v>
      </c>
      <c r="F224">
        <v>665.74</v>
      </c>
      <c r="G224">
        <v>331</v>
      </c>
      <c r="H224">
        <v>1682</v>
      </c>
      <c r="I224">
        <v>21271.449000000001</v>
      </c>
      <c r="J224">
        <v>805546</v>
      </c>
      <c r="L224">
        <f t="shared" ref="L224" si="712">E224-E223</f>
        <v>9.1110000000000007</v>
      </c>
      <c r="M224">
        <f t="shared" ref="M224" si="713">J224-J222</f>
        <v>245953</v>
      </c>
      <c r="N224">
        <f t="shared" ref="N224" si="714">M224/L224</f>
        <v>26995.170672813081</v>
      </c>
    </row>
    <row r="225" spans="1:16" x14ac:dyDescent="0.2">
      <c r="A225" s="1"/>
      <c r="B225" s="2" t="s">
        <v>12</v>
      </c>
      <c r="D225" t="s">
        <v>1</v>
      </c>
      <c r="E225">
        <v>25.667000000000002</v>
      </c>
      <c r="F225">
        <v>584.54700000000003</v>
      </c>
      <c r="G225">
        <v>289</v>
      </c>
      <c r="H225">
        <v>1139</v>
      </c>
      <c r="I225">
        <v>15003.503000000001</v>
      </c>
      <c r="J225">
        <v>568180</v>
      </c>
      <c r="O225">
        <f t="shared" ref="O225" si="715">J225/E225</f>
        <v>22136.595628628198</v>
      </c>
    </row>
    <row r="226" spans="1:16" x14ac:dyDescent="0.2">
      <c r="A226" s="1"/>
      <c r="B226" s="2"/>
      <c r="D226" t="s">
        <v>3</v>
      </c>
      <c r="E226">
        <v>25.667000000000002</v>
      </c>
      <c r="F226">
        <v>671.67600000000004</v>
      </c>
      <c r="G226">
        <v>268</v>
      </c>
      <c r="H226">
        <v>1802</v>
      </c>
      <c r="I226">
        <v>17239.822</v>
      </c>
      <c r="J226">
        <v>652869</v>
      </c>
      <c r="P226" s="4">
        <f t="shared" ref="P226" si="716">O225/N227</f>
        <v>1.1547407531776348</v>
      </c>
    </row>
    <row r="227" spans="1:16" x14ac:dyDescent="0.2">
      <c r="A227" s="1"/>
      <c r="B227" s="2"/>
      <c r="D227" t="s">
        <v>2</v>
      </c>
      <c r="E227">
        <v>45.128</v>
      </c>
      <c r="F227">
        <v>550.76099999999997</v>
      </c>
      <c r="G227">
        <v>289</v>
      </c>
      <c r="H227">
        <v>1139</v>
      </c>
      <c r="I227">
        <v>24854.909</v>
      </c>
      <c r="J227">
        <v>941251</v>
      </c>
      <c r="L227">
        <f t="shared" ref="L227" si="717">E227-E226</f>
        <v>19.460999999999999</v>
      </c>
      <c r="M227">
        <f t="shared" ref="M227" si="718">J227-J225</f>
        <v>373071</v>
      </c>
      <c r="N227">
        <f t="shared" ref="N227" si="719">M227/L227</f>
        <v>19170.186526899954</v>
      </c>
    </row>
    <row r="228" spans="1:16" x14ac:dyDescent="0.2">
      <c r="A228" s="1"/>
      <c r="B228" s="1" t="s">
        <v>10</v>
      </c>
      <c r="D228" t="s">
        <v>1</v>
      </c>
      <c r="E228">
        <v>32.929000000000002</v>
      </c>
      <c r="F228">
        <v>730.67100000000005</v>
      </c>
      <c r="G228">
        <v>307</v>
      </c>
      <c r="H228">
        <v>1389</v>
      </c>
      <c r="I228">
        <v>24059.974999999999</v>
      </c>
      <c r="J228">
        <v>911147</v>
      </c>
      <c r="O228">
        <f t="shared" ref="O228" si="720">J228/E228</f>
        <v>27670.04767833824</v>
      </c>
    </row>
    <row r="229" spans="1:16" x14ac:dyDescent="0.2">
      <c r="A229" s="1"/>
      <c r="B229" s="1"/>
      <c r="D229" t="s">
        <v>3</v>
      </c>
      <c r="E229">
        <v>32.929000000000002</v>
      </c>
      <c r="F229">
        <v>334.96100000000001</v>
      </c>
      <c r="G229">
        <v>205</v>
      </c>
      <c r="H229">
        <v>617</v>
      </c>
      <c r="I229">
        <v>11029.785</v>
      </c>
      <c r="J229">
        <v>417696</v>
      </c>
      <c r="P229">
        <f t="shared" ref="P229" si="721">O228/N230</f>
        <v>1.0968195593027104</v>
      </c>
    </row>
    <row r="230" spans="1:16" x14ac:dyDescent="0.2">
      <c r="A230" s="1"/>
      <c r="B230" s="1"/>
      <c r="D230" t="s">
        <v>2</v>
      </c>
      <c r="E230">
        <v>52.231999999999999</v>
      </c>
      <c r="F230">
        <v>706.83199999999999</v>
      </c>
      <c r="G230">
        <v>307</v>
      </c>
      <c r="H230">
        <v>1415</v>
      </c>
      <c r="I230">
        <v>36918.947999999997</v>
      </c>
      <c r="J230">
        <v>1398114</v>
      </c>
      <c r="L230">
        <f t="shared" ref="L230" si="722">E230-E229</f>
        <v>19.302999999999997</v>
      </c>
      <c r="M230">
        <f t="shared" ref="M230" si="723">J230-J228</f>
        <v>486967</v>
      </c>
      <c r="N230">
        <f t="shared" ref="N230" si="724">M230/L230</f>
        <v>25227.5293995752</v>
      </c>
    </row>
    <row r="231" spans="1:16" x14ac:dyDescent="0.2">
      <c r="A231" s="1"/>
      <c r="B231" s="2" t="s">
        <v>12</v>
      </c>
      <c r="D231" t="s">
        <v>1</v>
      </c>
      <c r="E231">
        <v>18.774999999999999</v>
      </c>
      <c r="F231">
        <v>601.86099999999999</v>
      </c>
      <c r="G231">
        <v>387</v>
      </c>
      <c r="H231">
        <v>1005</v>
      </c>
      <c r="I231">
        <v>11299.842000000001</v>
      </c>
      <c r="J231">
        <v>427923</v>
      </c>
      <c r="O231">
        <f t="shared" ref="O231" si="725">J231/E231</f>
        <v>22792.170439414116</v>
      </c>
    </row>
    <row r="232" spans="1:16" x14ac:dyDescent="0.2">
      <c r="A232" s="1"/>
      <c r="B232" s="2"/>
      <c r="D232" t="s">
        <v>3</v>
      </c>
      <c r="E232">
        <v>18.774999999999999</v>
      </c>
      <c r="F232">
        <v>590.11300000000006</v>
      </c>
      <c r="G232">
        <v>264</v>
      </c>
      <c r="H232">
        <v>1074</v>
      </c>
      <c r="I232">
        <v>11079.27</v>
      </c>
      <c r="J232">
        <v>419570</v>
      </c>
      <c r="P232" s="4">
        <f t="shared" ref="P232" si="726">O231/N233</f>
        <v>1.0411276462137173</v>
      </c>
    </row>
    <row r="233" spans="1:16" x14ac:dyDescent="0.2">
      <c r="A233" s="1"/>
      <c r="B233" s="2"/>
      <c r="D233" t="s">
        <v>2</v>
      </c>
      <c r="E233">
        <v>42.381999999999998</v>
      </c>
      <c r="F233">
        <v>588.61199999999997</v>
      </c>
      <c r="G233">
        <v>387</v>
      </c>
      <c r="H233">
        <v>1005</v>
      </c>
      <c r="I233">
        <v>24946.592000000001</v>
      </c>
      <c r="J233">
        <v>944723</v>
      </c>
      <c r="L233">
        <f t="shared" ref="L233" si="727">E233-E232</f>
        <v>23.606999999999999</v>
      </c>
      <c r="M233">
        <f t="shared" ref="M233" si="728">J233-J231</f>
        <v>516800</v>
      </c>
      <c r="N233">
        <f t="shared" ref="N233" si="729">M233/L233</f>
        <v>21891.811750751895</v>
      </c>
    </row>
    <row r="234" spans="1:16" x14ac:dyDescent="0.2">
      <c r="A234" s="10" t="s">
        <v>19</v>
      </c>
      <c r="B234" s="10" t="s">
        <v>10</v>
      </c>
      <c r="D234" t="s">
        <v>1</v>
      </c>
      <c r="E234">
        <v>42.460999999999999</v>
      </c>
      <c r="F234">
        <v>909.51</v>
      </c>
      <c r="G234">
        <v>477</v>
      </c>
      <c r="H234">
        <v>1647</v>
      </c>
      <c r="I234">
        <v>38618.928999999996</v>
      </c>
      <c r="J234">
        <v>1462492</v>
      </c>
      <c r="O234">
        <f t="shared" ref="O234" si="730">J234/E234</f>
        <v>34443.183156308143</v>
      </c>
    </row>
    <row r="235" spans="1:16" x14ac:dyDescent="0.2">
      <c r="A235" s="10"/>
      <c r="B235" s="10"/>
      <c r="D235" t="s">
        <v>3</v>
      </c>
      <c r="E235">
        <v>42.460999999999999</v>
      </c>
      <c r="F235">
        <v>406.85199999999998</v>
      </c>
      <c r="G235">
        <v>243</v>
      </c>
      <c r="H235">
        <v>717</v>
      </c>
      <c r="I235">
        <v>17275.444</v>
      </c>
      <c r="J235">
        <v>654218</v>
      </c>
      <c r="P235">
        <f t="shared" ref="P235" si="731">O234/N236</f>
        <v>1.1253076216376294</v>
      </c>
    </row>
    <row r="236" spans="1:16" x14ac:dyDescent="0.2">
      <c r="A236" s="10"/>
      <c r="B236" s="10"/>
      <c r="D236" t="s">
        <v>2</v>
      </c>
      <c r="E236">
        <v>71.614000000000004</v>
      </c>
      <c r="F236">
        <v>868.28899999999999</v>
      </c>
      <c r="G236">
        <v>415</v>
      </c>
      <c r="H236">
        <v>1647</v>
      </c>
      <c r="I236">
        <v>62181.464</v>
      </c>
      <c r="J236">
        <v>2354801</v>
      </c>
      <c r="L236">
        <f t="shared" ref="L236" si="732">E236-E235</f>
        <v>29.153000000000006</v>
      </c>
      <c r="M236">
        <f t="shared" ref="M236" si="733">J236-J234</f>
        <v>892309</v>
      </c>
      <c r="N236">
        <f t="shared" ref="N236" si="734">M236/L236</f>
        <v>30607.793366034366</v>
      </c>
    </row>
    <row r="237" spans="1:16" x14ac:dyDescent="0.2">
      <c r="A237" s="1" t="s">
        <v>11</v>
      </c>
      <c r="B237" s="2" t="s">
        <v>12</v>
      </c>
      <c r="D237" t="s">
        <v>1</v>
      </c>
      <c r="E237">
        <v>30.922000000000001</v>
      </c>
      <c r="F237">
        <v>716.61699999999996</v>
      </c>
      <c r="G237">
        <v>360</v>
      </c>
      <c r="H237">
        <v>1337</v>
      </c>
      <c r="I237">
        <v>22159.042000000001</v>
      </c>
      <c r="J237">
        <v>839159</v>
      </c>
      <c r="O237">
        <f t="shared" ref="O237" si="735">J237/E237</f>
        <v>27137.927689023996</v>
      </c>
    </row>
    <row r="238" spans="1:16" x14ac:dyDescent="0.2">
      <c r="A238" s="1"/>
      <c r="B238" s="2"/>
      <c r="D238" t="s">
        <v>3</v>
      </c>
      <c r="E238">
        <v>30.922000000000001</v>
      </c>
      <c r="F238">
        <v>874.29100000000005</v>
      </c>
      <c r="G238">
        <v>280</v>
      </c>
      <c r="H238">
        <v>2151</v>
      </c>
      <c r="I238">
        <v>27034.587</v>
      </c>
      <c r="J238">
        <v>1023795</v>
      </c>
      <c r="P238">
        <f t="shared" ref="P238" si="736">O237/N239</f>
        <v>1.3799693047814667</v>
      </c>
    </row>
    <row r="239" spans="1:16" x14ac:dyDescent="0.2">
      <c r="A239" s="1"/>
      <c r="B239" s="2"/>
      <c r="D239" t="s">
        <v>2</v>
      </c>
      <c r="E239">
        <v>53.472999999999999</v>
      </c>
      <c r="F239">
        <v>633.40099999999995</v>
      </c>
      <c r="G239">
        <v>270</v>
      </c>
      <c r="H239">
        <v>1337</v>
      </c>
      <c r="I239">
        <v>33869.660000000003</v>
      </c>
      <c r="J239">
        <v>1282638</v>
      </c>
      <c r="L239">
        <f t="shared" ref="L239" si="737">E239-E238</f>
        <v>22.550999999999998</v>
      </c>
      <c r="M239">
        <f t="shared" ref="M239" si="738">J239-J237</f>
        <v>443479</v>
      </c>
      <c r="N239">
        <f t="shared" ref="N239" si="739">M239/L239</f>
        <v>19665.602412309876</v>
      </c>
    </row>
    <row r="240" spans="1:16" x14ac:dyDescent="0.2">
      <c r="A240" s="1"/>
      <c r="B240" s="1" t="s">
        <v>10</v>
      </c>
      <c r="D240" t="s">
        <v>1</v>
      </c>
      <c r="E240">
        <v>36.360999999999997</v>
      </c>
      <c r="F240">
        <v>564.88099999999997</v>
      </c>
      <c r="G240">
        <v>280</v>
      </c>
      <c r="H240">
        <v>1187</v>
      </c>
      <c r="I240">
        <v>20539.864000000001</v>
      </c>
      <c r="J240">
        <v>777841</v>
      </c>
      <c r="O240">
        <f t="shared" ref="O240" si="740">J240/E240</f>
        <v>21392.178432936391</v>
      </c>
    </row>
    <row r="241" spans="1:16" x14ac:dyDescent="0.2">
      <c r="A241" s="1"/>
      <c r="B241" s="1"/>
      <c r="D241" t="s">
        <v>3</v>
      </c>
      <c r="E241">
        <v>36.360999999999997</v>
      </c>
      <c r="F241">
        <v>306.8</v>
      </c>
      <c r="G241">
        <v>194</v>
      </c>
      <c r="H241">
        <v>742</v>
      </c>
      <c r="I241">
        <v>11155.664000000001</v>
      </c>
      <c r="J241">
        <v>422463</v>
      </c>
      <c r="P241">
        <f t="shared" ref="P241" si="741">O240/N242</f>
        <v>1.1745562489005059</v>
      </c>
    </row>
    <row r="242" spans="1:16" x14ac:dyDescent="0.2">
      <c r="A242" s="1"/>
      <c r="B242" s="1"/>
      <c r="D242" t="s">
        <v>2</v>
      </c>
      <c r="E242">
        <v>57.381</v>
      </c>
      <c r="F242">
        <v>534.13599999999997</v>
      </c>
      <c r="G242">
        <v>191</v>
      </c>
      <c r="H242">
        <v>1332</v>
      </c>
      <c r="I242">
        <v>30649.152999999998</v>
      </c>
      <c r="J242">
        <v>1160678</v>
      </c>
      <c r="L242">
        <f t="shared" ref="L242" si="742">E242-E241</f>
        <v>21.020000000000003</v>
      </c>
      <c r="M242">
        <f t="shared" ref="M242" si="743">J242-J240</f>
        <v>382837</v>
      </c>
      <c r="N242">
        <f t="shared" ref="N242" si="744">M242/L242</f>
        <v>18212.987630827782</v>
      </c>
    </row>
    <row r="243" spans="1:16" x14ac:dyDescent="0.2">
      <c r="A243" s="1"/>
      <c r="B243" s="1" t="s">
        <v>10</v>
      </c>
      <c r="D243" t="s">
        <v>1</v>
      </c>
      <c r="E243">
        <v>26.722999999999999</v>
      </c>
      <c r="F243">
        <v>714.06100000000004</v>
      </c>
      <c r="G243">
        <v>271</v>
      </c>
      <c r="H243">
        <v>1396</v>
      </c>
      <c r="I243">
        <v>19081.948</v>
      </c>
      <c r="J243">
        <v>722630</v>
      </c>
      <c r="O243">
        <f t="shared" ref="O243" si="745">J243/E243</f>
        <v>27041.499831605735</v>
      </c>
    </row>
    <row r="244" spans="1:16" x14ac:dyDescent="0.2">
      <c r="A244" s="1"/>
      <c r="B244" s="1"/>
      <c r="D244" t="s">
        <v>3</v>
      </c>
      <c r="E244">
        <v>26.722999999999999</v>
      </c>
      <c r="F244">
        <v>328.05599999999998</v>
      </c>
      <c r="G244">
        <v>207</v>
      </c>
      <c r="H244">
        <v>612</v>
      </c>
      <c r="I244">
        <v>8766.69</v>
      </c>
      <c r="J244">
        <v>331993</v>
      </c>
      <c r="P244">
        <f t="shared" ref="P244" si="746">O243/N245</f>
        <v>0.87036880374509806</v>
      </c>
    </row>
    <row r="245" spans="1:16" x14ac:dyDescent="0.2">
      <c r="A245" s="1"/>
      <c r="B245" s="1"/>
      <c r="D245" t="s">
        <v>2</v>
      </c>
      <c r="E245">
        <v>37.576000000000001</v>
      </c>
      <c r="F245">
        <v>744.78</v>
      </c>
      <c r="G245">
        <v>271</v>
      </c>
      <c r="H245">
        <v>1465</v>
      </c>
      <c r="I245">
        <v>27985.924999999999</v>
      </c>
      <c r="J245">
        <v>1059822</v>
      </c>
      <c r="L245">
        <f t="shared" ref="L245" si="747">E245-E244</f>
        <v>10.853000000000002</v>
      </c>
      <c r="M245">
        <f t="shared" ref="M245" si="748">J245-J243</f>
        <v>337192</v>
      </c>
      <c r="N245">
        <f t="shared" ref="N245" si="749">M245/L245</f>
        <v>31069.013176080342</v>
      </c>
    </row>
    <row r="246" spans="1:16" x14ac:dyDescent="0.2">
      <c r="A246" s="1"/>
      <c r="B246" s="1" t="s">
        <v>10</v>
      </c>
      <c r="D246" t="s">
        <v>1</v>
      </c>
      <c r="E246">
        <v>40.956000000000003</v>
      </c>
      <c r="F246">
        <v>651.91099999999994</v>
      </c>
      <c r="G246">
        <v>361</v>
      </c>
      <c r="H246">
        <v>1328</v>
      </c>
      <c r="I246">
        <v>26699.728999999999</v>
      </c>
      <c r="J246">
        <v>1011114</v>
      </c>
      <c r="O246">
        <f t="shared" ref="O246" si="750">J246/E246</f>
        <v>24687.811309698212</v>
      </c>
    </row>
    <row r="247" spans="1:16" x14ac:dyDescent="0.2">
      <c r="A247" s="1"/>
      <c r="B247" s="1"/>
      <c r="D247" t="s">
        <v>3</v>
      </c>
      <c r="E247">
        <v>40.956000000000003</v>
      </c>
      <c r="F247">
        <v>327.11900000000003</v>
      </c>
      <c r="G247">
        <v>168</v>
      </c>
      <c r="H247">
        <v>916</v>
      </c>
      <c r="I247">
        <v>13397.528</v>
      </c>
      <c r="J247">
        <v>507362</v>
      </c>
      <c r="P247">
        <f t="shared" ref="P247" si="751">O246/N248</f>
        <v>1.0349333454641945</v>
      </c>
    </row>
    <row r="248" spans="1:16" x14ac:dyDescent="0.2">
      <c r="A248" s="1"/>
      <c r="B248" s="1"/>
      <c r="D248" t="s">
        <v>2</v>
      </c>
      <c r="E248">
        <v>53.683999999999997</v>
      </c>
      <c r="F248">
        <v>646.697</v>
      </c>
      <c r="G248">
        <v>284</v>
      </c>
      <c r="H248">
        <v>1249</v>
      </c>
      <c r="I248">
        <v>34717.195</v>
      </c>
      <c r="J248">
        <v>1314734</v>
      </c>
      <c r="L248">
        <f t="shared" ref="L248" si="752">E248-E247</f>
        <v>12.727999999999994</v>
      </c>
      <c r="M248">
        <f t="shared" ref="M248" si="753">J248-J246</f>
        <v>303620</v>
      </c>
      <c r="N248">
        <f t="shared" ref="N248" si="754">M248/L248</f>
        <v>23854.494028912643</v>
      </c>
    </row>
    <row r="249" spans="1:16" x14ac:dyDescent="0.2">
      <c r="A249" s="1"/>
      <c r="B249" s="1" t="s">
        <v>10</v>
      </c>
      <c r="D249" t="s">
        <v>1</v>
      </c>
      <c r="E249">
        <v>33.244999999999997</v>
      </c>
      <c r="F249">
        <v>579.36900000000003</v>
      </c>
      <c r="G249">
        <v>224</v>
      </c>
      <c r="H249">
        <v>1026</v>
      </c>
      <c r="I249">
        <v>19261.379000000001</v>
      </c>
      <c r="J249">
        <v>729425</v>
      </c>
      <c r="O249">
        <f t="shared" ref="O249" si="755">J249/E249</f>
        <v>21940.893367423676</v>
      </c>
    </row>
    <row r="250" spans="1:16" x14ac:dyDescent="0.2">
      <c r="A250" s="1"/>
      <c r="B250" s="1"/>
      <c r="D250" t="s">
        <v>3</v>
      </c>
      <c r="E250">
        <v>33.244999999999997</v>
      </c>
      <c r="F250">
        <v>267.61500000000001</v>
      </c>
      <c r="G250">
        <v>169</v>
      </c>
      <c r="H250">
        <v>464</v>
      </c>
      <c r="I250">
        <v>8896.9789999999994</v>
      </c>
      <c r="J250">
        <v>336927</v>
      </c>
      <c r="P250">
        <f t="shared" ref="P250" si="756">O249/N251</f>
        <v>1.1404547127976556</v>
      </c>
    </row>
    <row r="251" spans="1:16" x14ac:dyDescent="0.2">
      <c r="A251" s="1"/>
      <c r="B251" s="1"/>
      <c r="D251" t="s">
        <v>2</v>
      </c>
      <c r="E251">
        <v>54.529000000000003</v>
      </c>
      <c r="F251">
        <v>551.52599999999995</v>
      </c>
      <c r="G251">
        <v>212</v>
      </c>
      <c r="H251">
        <v>1075</v>
      </c>
      <c r="I251">
        <v>30074.131000000001</v>
      </c>
      <c r="J251">
        <v>1138902</v>
      </c>
      <c r="L251">
        <f t="shared" ref="L251" si="757">E251-E250</f>
        <v>21.284000000000006</v>
      </c>
      <c r="M251">
        <f t="shared" ref="M251" si="758">J251-J249</f>
        <v>409477</v>
      </c>
      <c r="N251">
        <f t="shared" ref="N251" si="759">M251/L251</f>
        <v>19238.723924074417</v>
      </c>
    </row>
    <row r="252" spans="1:16" x14ac:dyDescent="0.2">
      <c r="A252" s="1"/>
      <c r="B252" s="1" t="s">
        <v>10</v>
      </c>
      <c r="D252" t="s">
        <v>1</v>
      </c>
      <c r="E252">
        <v>40.322000000000003</v>
      </c>
      <c r="F252">
        <v>605.971</v>
      </c>
      <c r="G252">
        <v>308</v>
      </c>
      <c r="H252">
        <v>1296</v>
      </c>
      <c r="I252">
        <v>24434.151999999998</v>
      </c>
      <c r="J252">
        <v>925317</v>
      </c>
      <c r="O252">
        <f t="shared" ref="O252" si="760">J252/E252</f>
        <v>22948.192053965577</v>
      </c>
    </row>
    <row r="253" spans="1:16" x14ac:dyDescent="0.2">
      <c r="A253" s="1"/>
      <c r="B253" s="1"/>
      <c r="D253" t="s">
        <v>3</v>
      </c>
      <c r="E253">
        <v>40.322000000000003</v>
      </c>
      <c r="F253">
        <v>252.59399999999999</v>
      </c>
      <c r="G253">
        <v>153</v>
      </c>
      <c r="H253">
        <v>531</v>
      </c>
      <c r="I253">
        <v>10185.181</v>
      </c>
      <c r="J253">
        <v>385711</v>
      </c>
      <c r="P253">
        <f t="shared" ref="P253" si="761">O252/N254</f>
        <v>0.86826864707262774</v>
      </c>
    </row>
    <row r="254" spans="1:16" x14ac:dyDescent="0.2">
      <c r="A254" s="1"/>
      <c r="B254" s="1"/>
      <c r="D254" t="s">
        <v>2</v>
      </c>
      <c r="E254">
        <v>59.176000000000002</v>
      </c>
      <c r="F254">
        <v>635.26300000000003</v>
      </c>
      <c r="G254">
        <v>294</v>
      </c>
      <c r="H254">
        <v>1296</v>
      </c>
      <c r="I254">
        <v>37592.597999999998</v>
      </c>
      <c r="J254">
        <v>1423625</v>
      </c>
      <c r="L254">
        <f t="shared" ref="L254" si="762">E254-E253</f>
        <v>18.853999999999999</v>
      </c>
      <c r="M254">
        <f t="shared" ref="M254" si="763">J254-J252</f>
        <v>498308</v>
      </c>
      <c r="N254">
        <f t="shared" ref="N254" si="764">M254/L254</f>
        <v>26429.829213959903</v>
      </c>
    </row>
    <row r="255" spans="1:16" x14ac:dyDescent="0.2">
      <c r="A255" s="1"/>
      <c r="B255" s="2" t="s">
        <v>12</v>
      </c>
      <c r="D255" t="s">
        <v>1</v>
      </c>
      <c r="E255">
        <v>23.686</v>
      </c>
      <c r="F255">
        <v>658.28899999999999</v>
      </c>
      <c r="G255">
        <v>347</v>
      </c>
      <c r="H255">
        <v>1152</v>
      </c>
      <c r="I255">
        <v>15592.495000000001</v>
      </c>
      <c r="J255">
        <v>590485</v>
      </c>
      <c r="O255">
        <f t="shared" ref="O255" si="765">J255/E255</f>
        <v>24929.70531115427</v>
      </c>
    </row>
    <row r="256" spans="1:16" x14ac:dyDescent="0.2">
      <c r="A256" s="1"/>
      <c r="B256" s="2"/>
      <c r="D256" t="s">
        <v>3</v>
      </c>
      <c r="E256">
        <v>23.686</v>
      </c>
      <c r="F256">
        <v>893.27300000000002</v>
      </c>
      <c r="G256">
        <v>349</v>
      </c>
      <c r="H256">
        <v>1913</v>
      </c>
      <c r="I256">
        <v>21158.43</v>
      </c>
      <c r="J256">
        <v>801266</v>
      </c>
      <c r="P256" s="4">
        <f t="shared" ref="P256" si="766">O255/N257</f>
        <v>0.86881728906332878</v>
      </c>
    </row>
    <row r="257" spans="1:16" x14ac:dyDescent="0.2">
      <c r="A257" s="1"/>
      <c r="B257" s="2"/>
      <c r="D257" t="s">
        <v>2</v>
      </c>
      <c r="E257">
        <v>32.664999999999999</v>
      </c>
      <c r="F257">
        <v>685.63199999999995</v>
      </c>
      <c r="G257">
        <v>347</v>
      </c>
      <c r="H257">
        <v>1326</v>
      </c>
      <c r="I257">
        <v>22395.853999999999</v>
      </c>
      <c r="J257">
        <v>848127</v>
      </c>
      <c r="L257">
        <f t="shared" ref="L257" si="767">E257-E256</f>
        <v>8.9789999999999992</v>
      </c>
      <c r="M257">
        <f t="shared" ref="M257" si="768">J257-J255</f>
        <v>257642</v>
      </c>
      <c r="N257">
        <f t="shared" ref="N257" si="769">M257/L257</f>
        <v>28693.841184987195</v>
      </c>
    </row>
    <row r="258" spans="1:16" x14ac:dyDescent="0.2">
      <c r="A258" s="1" t="s">
        <v>20</v>
      </c>
      <c r="B258" s="1" t="s">
        <v>10</v>
      </c>
      <c r="D258" t="s">
        <v>1</v>
      </c>
      <c r="E258">
        <v>32.084000000000003</v>
      </c>
      <c r="F258">
        <v>878.86699999999996</v>
      </c>
      <c r="G258">
        <v>376</v>
      </c>
      <c r="H258">
        <v>1982</v>
      </c>
      <c r="I258">
        <v>28197.226999999999</v>
      </c>
      <c r="J258">
        <v>1067824</v>
      </c>
      <c r="O258">
        <f t="shared" ref="O258" si="770">J258/E258</f>
        <v>33282.13439720733</v>
      </c>
    </row>
    <row r="259" spans="1:16" x14ac:dyDescent="0.2">
      <c r="A259" s="1"/>
      <c r="B259" s="1"/>
      <c r="D259" t="s">
        <v>3</v>
      </c>
      <c r="E259">
        <v>32.084000000000003</v>
      </c>
      <c r="F259">
        <v>340.50900000000001</v>
      </c>
      <c r="G259">
        <v>205</v>
      </c>
      <c r="H259">
        <v>557</v>
      </c>
      <c r="I259">
        <v>10924.741</v>
      </c>
      <c r="J259">
        <v>413718</v>
      </c>
      <c r="P259" s="7">
        <f t="shared" ref="P259" si="771">O258/N260</f>
        <v>1.5367279172966184</v>
      </c>
    </row>
    <row r="260" spans="1:16" x14ac:dyDescent="0.2">
      <c r="A260" s="1"/>
      <c r="B260" s="1"/>
      <c r="D260" t="s">
        <v>2</v>
      </c>
      <c r="E260">
        <v>44.442</v>
      </c>
      <c r="F260">
        <v>793.50599999999997</v>
      </c>
      <c r="G260">
        <v>278</v>
      </c>
      <c r="H260">
        <v>1982</v>
      </c>
      <c r="I260">
        <v>35264.781000000003</v>
      </c>
      <c r="J260">
        <v>1335471</v>
      </c>
      <c r="L260">
        <f t="shared" ref="L260" si="772">E260-E259</f>
        <v>12.357999999999997</v>
      </c>
      <c r="M260">
        <f t="shared" ref="M260" si="773">J260-J258</f>
        <v>267647</v>
      </c>
      <c r="N260">
        <f t="shared" ref="N260" si="774">M260/L260</f>
        <v>21657.792523061991</v>
      </c>
    </row>
    <row r="261" spans="1:16" x14ac:dyDescent="0.2">
      <c r="A261" s="1"/>
      <c r="B261" s="1" t="s">
        <v>10</v>
      </c>
      <c r="D261" t="s">
        <v>1</v>
      </c>
      <c r="E261">
        <v>48.323</v>
      </c>
      <c r="F261">
        <v>761.34299999999996</v>
      </c>
      <c r="G261">
        <v>230</v>
      </c>
      <c r="H261">
        <v>1779</v>
      </c>
      <c r="I261">
        <v>36790.692999999999</v>
      </c>
      <c r="J261">
        <v>1393257</v>
      </c>
      <c r="O261">
        <f t="shared" ref="O261" si="775">J261/E261</f>
        <v>28832.171015872358</v>
      </c>
    </row>
    <row r="262" spans="1:16" x14ac:dyDescent="0.2">
      <c r="A262" s="1"/>
      <c r="B262" s="1"/>
      <c r="D262" t="s">
        <v>3</v>
      </c>
      <c r="E262">
        <v>48.323</v>
      </c>
      <c r="F262">
        <v>319.274</v>
      </c>
      <c r="G262">
        <v>202</v>
      </c>
      <c r="H262">
        <v>531</v>
      </c>
      <c r="I262">
        <v>15428.406000000001</v>
      </c>
      <c r="J262">
        <v>584271</v>
      </c>
      <c r="P262">
        <f t="shared" ref="P262" si="776">O261/N263</f>
        <v>0.81869383157888631</v>
      </c>
    </row>
    <row r="263" spans="1:16" x14ac:dyDescent="0.2">
      <c r="A263" s="1"/>
      <c r="B263" s="1"/>
      <c r="D263" t="s">
        <v>2</v>
      </c>
      <c r="E263">
        <v>64.537000000000006</v>
      </c>
      <c r="F263">
        <v>803.71100000000001</v>
      </c>
      <c r="G263">
        <v>268</v>
      </c>
      <c r="H263">
        <v>1779</v>
      </c>
      <c r="I263">
        <v>51869.004999999997</v>
      </c>
      <c r="J263">
        <v>1964270</v>
      </c>
      <c r="L263">
        <f t="shared" ref="L263" si="777">E263-E262</f>
        <v>16.214000000000006</v>
      </c>
      <c r="M263">
        <f t="shared" ref="M263" si="778">J263-J261</f>
        <v>571013</v>
      </c>
      <c r="N263">
        <f t="shared" ref="N263" si="779">M263/L263</f>
        <v>35217.281361786096</v>
      </c>
    </row>
    <row r="264" spans="1:16" x14ac:dyDescent="0.2">
      <c r="A264" s="1"/>
      <c r="B264" s="2" t="s">
        <v>12</v>
      </c>
      <c r="D264" t="s">
        <v>1</v>
      </c>
      <c r="E264">
        <v>29.285</v>
      </c>
      <c r="F264">
        <v>565.04499999999996</v>
      </c>
      <c r="G264">
        <v>373</v>
      </c>
      <c r="H264">
        <v>865</v>
      </c>
      <c r="I264">
        <v>16547.080000000002</v>
      </c>
      <c r="J264">
        <v>626635</v>
      </c>
      <c r="O264">
        <f t="shared" ref="O264" si="780">J264/E264</f>
        <v>21397.814580843435</v>
      </c>
    </row>
    <row r="265" spans="1:16" x14ac:dyDescent="0.2">
      <c r="A265" s="1"/>
      <c r="B265" s="2"/>
      <c r="D265" t="s">
        <v>3</v>
      </c>
      <c r="E265">
        <v>29.285</v>
      </c>
      <c r="F265">
        <v>710.41899999999998</v>
      </c>
      <c r="G265">
        <v>250</v>
      </c>
      <c r="H265">
        <v>1633</v>
      </c>
      <c r="I265">
        <v>20804.295999999998</v>
      </c>
      <c r="J265">
        <v>787855</v>
      </c>
      <c r="P265" s="4">
        <f t="shared" ref="P265" si="781">O264/N266</f>
        <v>0.83225578865511596</v>
      </c>
    </row>
    <row r="266" spans="1:16" x14ac:dyDescent="0.2">
      <c r="A266" s="1"/>
      <c r="B266" s="2"/>
      <c r="D266" t="s">
        <v>2</v>
      </c>
      <c r="E266">
        <v>63.956000000000003</v>
      </c>
      <c r="F266">
        <v>626.77499999999998</v>
      </c>
      <c r="G266">
        <v>316</v>
      </c>
      <c r="H266">
        <v>1243</v>
      </c>
      <c r="I266">
        <v>40085.955000000002</v>
      </c>
      <c r="J266">
        <v>1518048</v>
      </c>
      <c r="L266">
        <f t="shared" ref="L266" si="782">E266-E265</f>
        <v>34.671000000000006</v>
      </c>
      <c r="M266">
        <f t="shared" ref="M266" si="783">J266-J264</f>
        <v>891413</v>
      </c>
      <c r="N266">
        <f t="shared" ref="N266" si="784">M266/L266</f>
        <v>25710.622710622705</v>
      </c>
    </row>
    <row r="267" spans="1:16" x14ac:dyDescent="0.2">
      <c r="A267" s="1"/>
      <c r="B267" s="1" t="s">
        <v>10</v>
      </c>
      <c r="D267" t="s">
        <v>1</v>
      </c>
      <c r="E267">
        <v>26.776</v>
      </c>
      <c r="F267">
        <v>649.18200000000002</v>
      </c>
      <c r="G267">
        <v>345</v>
      </c>
      <c r="H267">
        <v>1122</v>
      </c>
      <c r="I267">
        <v>17382.469000000001</v>
      </c>
      <c r="J267">
        <v>658271</v>
      </c>
      <c r="O267">
        <f t="shared" ref="O267" si="785">J267/E267</f>
        <v>24584.366596952495</v>
      </c>
    </row>
    <row r="268" spans="1:16" x14ac:dyDescent="0.2">
      <c r="A268" s="1"/>
      <c r="B268" s="1"/>
      <c r="D268" t="s">
        <v>3</v>
      </c>
      <c r="E268">
        <v>26.776</v>
      </c>
      <c r="F268">
        <v>310.762</v>
      </c>
      <c r="G268">
        <v>210</v>
      </c>
      <c r="H268">
        <v>483</v>
      </c>
      <c r="I268">
        <v>8320.9529999999995</v>
      </c>
      <c r="J268">
        <v>315113</v>
      </c>
      <c r="P268">
        <f t="shared" ref="P268" si="786">O267/N269</f>
        <v>0.8792886775029799</v>
      </c>
    </row>
    <row r="269" spans="1:16" x14ac:dyDescent="0.2">
      <c r="A269" s="1"/>
      <c r="B269" s="1"/>
      <c r="D269" t="s">
        <v>2</v>
      </c>
      <c r="E269">
        <v>29.681000000000001</v>
      </c>
      <c r="F269">
        <v>657.91200000000003</v>
      </c>
      <c r="G269">
        <v>345</v>
      </c>
      <c r="H269">
        <v>1122</v>
      </c>
      <c r="I269">
        <v>19527.237000000001</v>
      </c>
      <c r="J269">
        <v>739493</v>
      </c>
      <c r="L269">
        <f t="shared" ref="L269" si="787">E269-E268</f>
        <v>2.9050000000000011</v>
      </c>
      <c r="M269">
        <f t="shared" ref="M269" si="788">J269-J267</f>
        <v>81222</v>
      </c>
      <c r="N269">
        <f t="shared" ref="N269" si="789">M269/L269</f>
        <v>27959.380378657475</v>
      </c>
    </row>
    <row r="270" spans="1:16" x14ac:dyDescent="0.2">
      <c r="A270" s="1"/>
      <c r="B270" s="1" t="s">
        <v>10</v>
      </c>
      <c r="D270" t="s">
        <v>1</v>
      </c>
      <c r="E270">
        <v>31.555</v>
      </c>
      <c r="F270">
        <v>567.52300000000002</v>
      </c>
      <c r="G270">
        <v>214</v>
      </c>
      <c r="H270">
        <v>1258</v>
      </c>
      <c r="I270">
        <v>17908.455000000002</v>
      </c>
      <c r="J270">
        <v>678190</v>
      </c>
      <c r="O270">
        <f t="shared" ref="O270" si="790">J270/E270</f>
        <v>21492.315005545872</v>
      </c>
    </row>
    <row r="271" spans="1:16" x14ac:dyDescent="0.2">
      <c r="A271" s="1"/>
      <c r="B271" s="1"/>
      <c r="D271" t="s">
        <v>3</v>
      </c>
      <c r="E271">
        <v>31.555</v>
      </c>
      <c r="F271">
        <v>280.69099999999997</v>
      </c>
      <c r="G271">
        <v>185</v>
      </c>
      <c r="H271">
        <v>507</v>
      </c>
      <c r="I271">
        <v>8857.3430000000008</v>
      </c>
      <c r="J271">
        <v>335426</v>
      </c>
      <c r="P271" s="7">
        <f t="shared" ref="P271" si="791">O270/N272</f>
        <v>0.98672687545032067</v>
      </c>
    </row>
    <row r="272" spans="1:16" x14ac:dyDescent="0.2">
      <c r="A272" s="1"/>
      <c r="B272" s="1"/>
      <c r="D272" t="s">
        <v>2</v>
      </c>
      <c r="E272">
        <v>46.95</v>
      </c>
      <c r="F272">
        <v>570.03099999999995</v>
      </c>
      <c r="G272">
        <v>242</v>
      </c>
      <c r="H272">
        <v>1258</v>
      </c>
      <c r="I272">
        <v>26763.13</v>
      </c>
      <c r="J272">
        <v>1013515</v>
      </c>
      <c r="L272">
        <f t="shared" ref="L272" si="792">E272-E271</f>
        <v>15.395000000000003</v>
      </c>
      <c r="M272">
        <f t="shared" ref="M272" si="793">J272-J270</f>
        <v>335325</v>
      </c>
      <c r="N272">
        <f t="shared" ref="N272" si="794">M272/L272</f>
        <v>21781.422539785639</v>
      </c>
    </row>
    <row r="273" spans="1:19" x14ac:dyDescent="0.2">
      <c r="A273" s="1"/>
      <c r="B273" s="2" t="s">
        <v>12</v>
      </c>
      <c r="D273" t="s">
        <v>1</v>
      </c>
      <c r="E273">
        <v>37.127000000000002</v>
      </c>
      <c r="F273">
        <v>631.92499999999995</v>
      </c>
      <c r="G273">
        <v>285</v>
      </c>
      <c r="H273">
        <v>1537</v>
      </c>
      <c r="I273">
        <v>23461.61</v>
      </c>
      <c r="J273">
        <v>888487</v>
      </c>
      <c r="O273">
        <f t="shared" ref="O273" si="795">J273/E273</f>
        <v>23931.020551081423</v>
      </c>
    </row>
    <row r="274" spans="1:19" x14ac:dyDescent="0.2">
      <c r="A274" s="1"/>
      <c r="B274" s="2"/>
      <c r="D274" t="s">
        <v>3</v>
      </c>
      <c r="E274">
        <v>37.127000000000002</v>
      </c>
      <c r="F274">
        <v>762.42499999999995</v>
      </c>
      <c r="G274">
        <v>219</v>
      </c>
      <c r="H274">
        <v>2965</v>
      </c>
      <c r="I274">
        <v>28306.681</v>
      </c>
      <c r="J274">
        <v>1071969</v>
      </c>
      <c r="P274" s="4">
        <f t="shared" ref="P274" si="796">O273/N275</f>
        <v>1.056432739451802</v>
      </c>
    </row>
    <row r="275" spans="1:19" x14ac:dyDescent="0.2">
      <c r="A275" s="1"/>
      <c r="B275" s="2"/>
      <c r="D275" t="s">
        <v>2</v>
      </c>
      <c r="E275">
        <v>45.128</v>
      </c>
      <c r="F275">
        <v>625.94000000000005</v>
      </c>
      <c r="G275">
        <v>288</v>
      </c>
      <c r="H275">
        <v>1537</v>
      </c>
      <c r="I275">
        <v>28247.583999999999</v>
      </c>
      <c r="J275">
        <v>1069731</v>
      </c>
      <c r="L275">
        <f t="shared" ref="L275" si="797">E275-E274</f>
        <v>8.0009999999999977</v>
      </c>
      <c r="M275">
        <f t="shared" ref="M275" si="798">J275-J273</f>
        <v>181244</v>
      </c>
      <c r="N275">
        <f t="shared" ref="N275" si="799">M275/L275</f>
        <v>22652.668416447952</v>
      </c>
    </row>
    <row r="276" spans="1:19" x14ac:dyDescent="0.2">
      <c r="A276" s="1"/>
      <c r="B276" s="2" t="s">
        <v>12</v>
      </c>
      <c r="D276" t="s">
        <v>1</v>
      </c>
      <c r="E276">
        <v>36.281999999999996</v>
      </c>
      <c r="F276">
        <v>775.65599999999995</v>
      </c>
      <c r="G276">
        <v>422</v>
      </c>
      <c r="H276">
        <v>1351</v>
      </c>
      <c r="I276">
        <v>28142.487000000001</v>
      </c>
      <c r="J276">
        <v>1065751</v>
      </c>
      <c r="O276">
        <f t="shared" ref="O276" si="800">J276/E276</f>
        <v>29374.097348547493</v>
      </c>
    </row>
    <row r="277" spans="1:19" x14ac:dyDescent="0.2">
      <c r="A277" s="1"/>
      <c r="B277" s="2"/>
      <c r="D277" t="s">
        <v>3</v>
      </c>
      <c r="E277">
        <v>36.281999999999996</v>
      </c>
      <c r="F277">
        <v>1123.279</v>
      </c>
      <c r="G277">
        <v>327</v>
      </c>
      <c r="H277">
        <v>2425</v>
      </c>
      <c r="I277">
        <v>40755.036999999997</v>
      </c>
      <c r="J277">
        <v>1543386</v>
      </c>
      <c r="P277" s="4">
        <f t="shared" ref="P277" si="801">O276/N278</f>
        <v>0.89576458276102644</v>
      </c>
    </row>
    <row r="278" spans="1:19" x14ac:dyDescent="0.2">
      <c r="A278" s="1"/>
      <c r="B278" s="2"/>
      <c r="D278" t="s">
        <v>2</v>
      </c>
      <c r="E278">
        <v>59.969000000000001</v>
      </c>
      <c r="F278">
        <v>811.31700000000001</v>
      </c>
      <c r="G278">
        <v>364</v>
      </c>
      <c r="H278">
        <v>1381</v>
      </c>
      <c r="I278">
        <v>48653.516000000003</v>
      </c>
      <c r="J278">
        <v>1842500</v>
      </c>
      <c r="L278">
        <f t="shared" ref="L278" si="802">E278-E277</f>
        <v>23.687000000000005</v>
      </c>
      <c r="M278">
        <f t="shared" ref="M278" si="803">J278-J276</f>
        <v>776749</v>
      </c>
      <c r="N278">
        <f t="shared" ref="N278" si="804">M278/L278</f>
        <v>32792.206695655841</v>
      </c>
    </row>
    <row r="279" spans="1:19" x14ac:dyDescent="0.2">
      <c r="A279" s="1"/>
      <c r="B279" s="1" t="s">
        <v>10</v>
      </c>
      <c r="D279" t="s">
        <v>1</v>
      </c>
      <c r="E279">
        <v>41.695</v>
      </c>
      <c r="F279">
        <v>694.29499999999996</v>
      </c>
      <c r="G279">
        <v>384</v>
      </c>
      <c r="H279">
        <v>1287</v>
      </c>
      <c r="I279">
        <v>28948.960999999999</v>
      </c>
      <c r="J279">
        <v>1096292</v>
      </c>
      <c r="O279">
        <f t="shared" ref="O279" si="805">J279/E279</f>
        <v>26293.128672502698</v>
      </c>
    </row>
    <row r="280" spans="1:19" x14ac:dyDescent="0.2">
      <c r="A280" s="1"/>
      <c r="B280" s="1"/>
      <c r="D280" t="s">
        <v>3</v>
      </c>
      <c r="E280">
        <v>41.695</v>
      </c>
      <c r="F280">
        <v>314.68700000000001</v>
      </c>
      <c r="G280">
        <v>205</v>
      </c>
      <c r="H280">
        <v>532</v>
      </c>
      <c r="I280">
        <v>13121.028</v>
      </c>
      <c r="J280">
        <v>496891</v>
      </c>
      <c r="P280">
        <f t="shared" ref="P280" si="806">O279/N281</f>
        <v>0.97094444006035996</v>
      </c>
    </row>
    <row r="281" spans="1:19" x14ac:dyDescent="0.2">
      <c r="A281" s="1"/>
      <c r="B281" s="1"/>
      <c r="D281" t="s">
        <v>2</v>
      </c>
      <c r="E281">
        <v>58.305</v>
      </c>
      <c r="F281">
        <v>700.22199999999998</v>
      </c>
      <c r="G281">
        <v>384</v>
      </c>
      <c r="H281">
        <v>1287</v>
      </c>
      <c r="I281">
        <v>40826.438999999998</v>
      </c>
      <c r="J281">
        <v>1546090</v>
      </c>
      <c r="L281">
        <f t="shared" ref="L281" si="807">E281-E280</f>
        <v>16.61</v>
      </c>
      <c r="M281">
        <f t="shared" ref="M281" si="808">J281-J279</f>
        <v>449798</v>
      </c>
      <c r="N281">
        <f t="shared" ref="N281" si="809">M281/L281</f>
        <v>27079.951836243228</v>
      </c>
    </row>
    <row r="282" spans="1:19" x14ac:dyDescent="0.2">
      <c r="A282" s="1" t="s">
        <v>23</v>
      </c>
      <c r="B282" s="1" t="s">
        <v>10</v>
      </c>
      <c r="D282" t="s">
        <v>1</v>
      </c>
      <c r="E282">
        <v>19.858000000000001</v>
      </c>
      <c r="F282">
        <v>571.15599999999995</v>
      </c>
      <c r="G282">
        <v>222</v>
      </c>
      <c r="H282">
        <v>1298</v>
      </c>
      <c r="I282">
        <v>11341.722</v>
      </c>
      <c r="J282">
        <v>429509</v>
      </c>
      <c r="K282" t="s">
        <v>22</v>
      </c>
      <c r="O282">
        <f t="shared" ref="O282" si="810">J282/E282</f>
        <v>21629.016013697248</v>
      </c>
    </row>
    <row r="283" spans="1:19" x14ac:dyDescent="0.2">
      <c r="A283" s="1"/>
      <c r="B283" s="1"/>
      <c r="D283" t="s">
        <v>3</v>
      </c>
      <c r="E283">
        <v>19.858000000000001</v>
      </c>
      <c r="F283">
        <v>222.76300000000001</v>
      </c>
      <c r="G283">
        <v>149</v>
      </c>
      <c r="H283">
        <v>344</v>
      </c>
      <c r="I283">
        <v>4423.5219999999999</v>
      </c>
      <c r="J283">
        <v>167518</v>
      </c>
      <c r="P283" s="7">
        <f t="shared" ref="P283" si="811">O282/N284</f>
        <v>1.8328273243224198</v>
      </c>
      <c r="S283" t="s">
        <v>21</v>
      </c>
    </row>
    <row r="284" spans="1:19" x14ac:dyDescent="0.2">
      <c r="A284" s="1"/>
      <c r="B284" s="1"/>
      <c r="D284" t="s">
        <v>2</v>
      </c>
      <c r="E284">
        <v>37.814</v>
      </c>
      <c r="F284">
        <v>447.90899999999999</v>
      </c>
      <c r="G284">
        <v>165</v>
      </c>
      <c r="H284">
        <v>1298</v>
      </c>
      <c r="I284">
        <v>16937.127</v>
      </c>
      <c r="J284">
        <v>641406</v>
      </c>
      <c r="L284">
        <f t="shared" ref="L284" si="812">E284-E283</f>
        <v>17.956</v>
      </c>
      <c r="M284">
        <f t="shared" ref="M284" si="813">J284-J282</f>
        <v>211897</v>
      </c>
      <c r="N284">
        <f t="shared" ref="N284" si="814">M284/L284</f>
        <v>11800.902205390956</v>
      </c>
    </row>
    <row r="285" spans="1:19" x14ac:dyDescent="0.2">
      <c r="A285" s="1"/>
      <c r="B285" s="2" t="s">
        <v>12</v>
      </c>
      <c r="D285" t="s">
        <v>1</v>
      </c>
      <c r="E285">
        <v>34.487000000000002</v>
      </c>
      <c r="F285">
        <v>590.46500000000003</v>
      </c>
      <c r="G285">
        <v>345</v>
      </c>
      <c r="H285">
        <v>925</v>
      </c>
      <c r="I285">
        <v>20363.099999999999</v>
      </c>
      <c r="J285">
        <v>771147</v>
      </c>
      <c r="O285">
        <f t="shared" ref="O285" si="815">J285/E285</f>
        <v>22360.512656943196</v>
      </c>
    </row>
    <row r="286" spans="1:19" x14ac:dyDescent="0.2">
      <c r="A286" s="1"/>
      <c r="B286" s="2"/>
      <c r="D286" t="s">
        <v>3</v>
      </c>
      <c r="E286">
        <v>34.487000000000002</v>
      </c>
      <c r="F286">
        <v>542.404</v>
      </c>
      <c r="G286">
        <v>166</v>
      </c>
      <c r="H286">
        <v>1485</v>
      </c>
      <c r="I286">
        <v>18705.659</v>
      </c>
      <c r="J286">
        <v>708380</v>
      </c>
      <c r="P286" s="7">
        <f t="shared" ref="P286" si="816">O285/N287</f>
        <v>1.3304861927854132</v>
      </c>
    </row>
    <row r="287" spans="1:19" x14ac:dyDescent="0.2">
      <c r="A287" s="1"/>
      <c r="B287" s="2"/>
      <c r="D287" t="s">
        <v>2</v>
      </c>
      <c r="E287">
        <v>69.66</v>
      </c>
      <c r="F287">
        <v>516.404</v>
      </c>
      <c r="G287">
        <v>214</v>
      </c>
      <c r="H287">
        <v>973</v>
      </c>
      <c r="I287">
        <v>35972.548000000003</v>
      </c>
      <c r="J287">
        <v>1362274</v>
      </c>
      <c r="L287">
        <f t="shared" ref="L287" si="817">E287-E286</f>
        <v>35.172999999999995</v>
      </c>
      <c r="M287">
        <f t="shared" ref="M287" si="818">J287-J285</f>
        <v>591127</v>
      </c>
      <c r="N287">
        <f t="shared" ref="N287" si="819">M287/L287</f>
        <v>16806.271856253377</v>
      </c>
    </row>
    <row r="288" spans="1:19" x14ac:dyDescent="0.2">
      <c r="A288" s="1"/>
      <c r="B288" s="1" t="s">
        <v>10</v>
      </c>
      <c r="D288" t="s">
        <v>1</v>
      </c>
      <c r="E288">
        <v>22.709</v>
      </c>
      <c r="F288">
        <v>530.79</v>
      </c>
      <c r="G288">
        <v>254</v>
      </c>
      <c r="H288">
        <v>904</v>
      </c>
      <c r="I288">
        <v>12053.898999999999</v>
      </c>
      <c r="J288">
        <v>456479</v>
      </c>
      <c r="O288">
        <f t="shared" ref="O288" si="820">J288/E288</f>
        <v>20101.237394865471</v>
      </c>
    </row>
    <row r="289" spans="1:16" x14ac:dyDescent="0.2">
      <c r="A289" s="1"/>
      <c r="B289" s="1"/>
      <c r="D289" t="s">
        <v>3</v>
      </c>
      <c r="E289">
        <v>22.709</v>
      </c>
      <c r="F289">
        <v>217.30600000000001</v>
      </c>
      <c r="G289">
        <v>155</v>
      </c>
      <c r="H289">
        <v>312</v>
      </c>
      <c r="I289">
        <v>4934.8789999999999</v>
      </c>
      <c r="J289">
        <v>186883</v>
      </c>
      <c r="P289">
        <f t="shared" ref="P289" si="821">O288/N290</f>
        <v>1.1326932791646869</v>
      </c>
    </row>
    <row r="290" spans="1:16" x14ac:dyDescent="0.2">
      <c r="A290" s="1"/>
      <c r="B290" s="1"/>
      <c r="D290" t="s">
        <v>2</v>
      </c>
      <c r="E290">
        <v>31.687999999999999</v>
      </c>
      <c r="F290">
        <v>513.18700000000001</v>
      </c>
      <c r="G290">
        <v>241</v>
      </c>
      <c r="H290">
        <v>972</v>
      </c>
      <c r="I290">
        <v>16261.602000000001</v>
      </c>
      <c r="J290">
        <v>615824</v>
      </c>
      <c r="L290">
        <f t="shared" ref="L290" si="822">E290-E289</f>
        <v>8.9789999999999992</v>
      </c>
      <c r="M290">
        <f t="shared" ref="M290" si="823">J290-J288</f>
        <v>159345</v>
      </c>
      <c r="N290">
        <f t="shared" ref="N290" si="824">M290/L290</f>
        <v>17746.408286000671</v>
      </c>
    </row>
    <row r="291" spans="1:16" x14ac:dyDescent="0.2">
      <c r="A291" s="1"/>
      <c r="B291" s="1" t="s">
        <v>10</v>
      </c>
      <c r="D291" t="s">
        <v>1</v>
      </c>
      <c r="E291">
        <v>39.926000000000002</v>
      </c>
      <c r="F291">
        <v>483.72300000000001</v>
      </c>
      <c r="G291">
        <v>240</v>
      </c>
      <c r="H291">
        <v>982</v>
      </c>
      <c r="I291">
        <v>19313.241000000002</v>
      </c>
      <c r="J291">
        <v>731389</v>
      </c>
      <c r="O291">
        <f t="shared" ref="O291" si="825">J291/E291</f>
        <v>18318.61443670791</v>
      </c>
    </row>
    <row r="292" spans="1:16" x14ac:dyDescent="0.2">
      <c r="A292" s="1"/>
      <c r="B292" s="1"/>
      <c r="D292" t="s">
        <v>3</v>
      </c>
      <c r="E292">
        <v>39.926000000000002</v>
      </c>
      <c r="F292">
        <v>202.81700000000001</v>
      </c>
      <c r="G292">
        <v>131</v>
      </c>
      <c r="H292">
        <v>324</v>
      </c>
      <c r="I292">
        <v>8097.7139999999999</v>
      </c>
      <c r="J292">
        <v>306659</v>
      </c>
      <c r="P292">
        <f t="shared" ref="P292" si="826">O291/N293</f>
        <v>1.1222558034797852</v>
      </c>
    </row>
    <row r="293" spans="1:16" x14ac:dyDescent="0.2">
      <c r="A293" s="1"/>
      <c r="B293" s="1"/>
      <c r="D293" t="s">
        <v>2</v>
      </c>
      <c r="E293">
        <v>47.69</v>
      </c>
      <c r="F293">
        <v>475.15</v>
      </c>
      <c r="G293">
        <v>198</v>
      </c>
      <c r="H293">
        <v>982</v>
      </c>
      <c r="I293">
        <v>22659.758000000002</v>
      </c>
      <c r="J293">
        <v>858121</v>
      </c>
      <c r="L293">
        <f t="shared" ref="L293" si="827">E293-E292</f>
        <v>7.7639999999999958</v>
      </c>
      <c r="M293">
        <f t="shared" ref="M293" si="828">J293-J291</f>
        <v>126732</v>
      </c>
      <c r="N293">
        <f t="shared" ref="N293" si="829">M293/L293</f>
        <v>16323.029366306037</v>
      </c>
    </row>
    <row r="294" spans="1:16" x14ac:dyDescent="0.2">
      <c r="A294" s="1" t="s">
        <v>24</v>
      </c>
      <c r="B294" s="1" t="s">
        <v>10</v>
      </c>
      <c r="D294" t="s">
        <v>1</v>
      </c>
      <c r="E294">
        <v>29.39</v>
      </c>
      <c r="F294">
        <v>444.80599999999998</v>
      </c>
      <c r="G294">
        <v>243</v>
      </c>
      <c r="H294">
        <v>762</v>
      </c>
      <c r="I294">
        <v>13072.915999999999</v>
      </c>
      <c r="J294">
        <v>495069</v>
      </c>
      <c r="O294">
        <f t="shared" ref="O294" si="830">J294/E294</f>
        <v>16844.811160258592</v>
      </c>
    </row>
    <row r="295" spans="1:16" x14ac:dyDescent="0.2">
      <c r="A295" s="1"/>
      <c r="B295" s="1"/>
      <c r="D295" t="s">
        <v>3</v>
      </c>
      <c r="E295">
        <v>29.39</v>
      </c>
      <c r="F295">
        <v>208.25800000000001</v>
      </c>
      <c r="G295">
        <v>147</v>
      </c>
      <c r="H295">
        <v>315</v>
      </c>
      <c r="I295">
        <v>6120.7309999999998</v>
      </c>
      <c r="J295">
        <v>231791</v>
      </c>
      <c r="P295" s="7">
        <f t="shared" ref="P295" si="831">O294/N296</f>
        <v>1.2510891652962257</v>
      </c>
    </row>
    <row r="296" spans="1:16" x14ac:dyDescent="0.2">
      <c r="A296" s="1"/>
      <c r="B296" s="1"/>
      <c r="D296" t="s">
        <v>2</v>
      </c>
      <c r="E296">
        <v>61.606000000000002</v>
      </c>
      <c r="F296">
        <v>398.12599999999998</v>
      </c>
      <c r="G296">
        <v>143</v>
      </c>
      <c r="H296">
        <v>810</v>
      </c>
      <c r="I296">
        <v>24526.891</v>
      </c>
      <c r="J296">
        <v>928829</v>
      </c>
      <c r="L296">
        <f t="shared" ref="L296" si="832">E296-E295</f>
        <v>32.216000000000001</v>
      </c>
      <c r="M296">
        <f t="shared" ref="M296" si="833">J296-J294</f>
        <v>433760</v>
      </c>
      <c r="N296">
        <f t="shared" ref="N296" si="834">M296/L296</f>
        <v>13464.117208840327</v>
      </c>
    </row>
    <row r="297" spans="1:16" x14ac:dyDescent="0.2">
      <c r="A297" s="1"/>
      <c r="B297" s="1" t="s">
        <v>10</v>
      </c>
      <c r="D297" t="s">
        <v>1</v>
      </c>
      <c r="E297">
        <v>29.443000000000001</v>
      </c>
      <c r="F297">
        <v>599.846</v>
      </c>
      <c r="G297">
        <v>279</v>
      </c>
      <c r="H297">
        <v>990</v>
      </c>
      <c r="I297">
        <v>17661.239000000001</v>
      </c>
      <c r="J297">
        <v>668828</v>
      </c>
      <c r="O297">
        <f t="shared" ref="O297" si="835">J297/E297</f>
        <v>22716.027578711408</v>
      </c>
    </row>
    <row r="298" spans="1:16" x14ac:dyDescent="0.2">
      <c r="A298" s="1"/>
      <c r="B298" s="1"/>
      <c r="D298" t="s">
        <v>3</v>
      </c>
      <c r="E298">
        <v>29.443000000000001</v>
      </c>
      <c r="F298">
        <v>218.77799999999999</v>
      </c>
      <c r="G298">
        <v>143</v>
      </c>
      <c r="H298">
        <v>341</v>
      </c>
      <c r="I298">
        <v>6441.4610000000002</v>
      </c>
      <c r="J298">
        <v>243937</v>
      </c>
      <c r="P298">
        <f t="shared" ref="P298" si="836">O297/N299</f>
        <v>1.0549798441464679</v>
      </c>
    </row>
    <row r="299" spans="1:16" x14ac:dyDescent="0.2">
      <c r="A299" s="1"/>
      <c r="B299" s="1"/>
      <c r="D299" t="s">
        <v>2</v>
      </c>
      <c r="E299">
        <v>60.259</v>
      </c>
      <c r="F299">
        <v>583.85799999999995</v>
      </c>
      <c r="G299">
        <v>232</v>
      </c>
      <c r="H299">
        <v>1086</v>
      </c>
      <c r="I299">
        <v>35182.737000000001</v>
      </c>
      <c r="J299">
        <v>1332364</v>
      </c>
      <c r="L299">
        <f t="shared" ref="L299" si="837">E299-E298</f>
        <v>30.815999999999999</v>
      </c>
      <c r="M299">
        <f t="shared" ref="M299" si="838">J299-J297</f>
        <v>663536</v>
      </c>
      <c r="N299">
        <f t="shared" ref="N299" si="839">M299/L299</f>
        <v>21532.191069574248</v>
      </c>
    </row>
    <row r="300" spans="1:16" x14ac:dyDescent="0.2">
      <c r="A300" s="1"/>
      <c r="B300" s="2" t="s">
        <v>12</v>
      </c>
      <c r="D300" t="s">
        <v>1</v>
      </c>
      <c r="E300">
        <v>41.378999999999998</v>
      </c>
      <c r="F300">
        <v>688.101</v>
      </c>
      <c r="G300">
        <v>258</v>
      </c>
      <c r="H300">
        <v>1158</v>
      </c>
      <c r="I300">
        <v>28472.670999999998</v>
      </c>
      <c r="J300">
        <v>1078255</v>
      </c>
      <c r="O300">
        <f t="shared" ref="O300" si="840">J300/E300</f>
        <v>26058.024601851183</v>
      </c>
    </row>
    <row r="301" spans="1:16" x14ac:dyDescent="0.2">
      <c r="A301" s="1"/>
      <c r="B301" s="2"/>
      <c r="D301" t="s">
        <v>3</v>
      </c>
      <c r="E301">
        <v>41.378999999999998</v>
      </c>
      <c r="F301">
        <v>434.673</v>
      </c>
      <c r="G301">
        <v>184</v>
      </c>
      <c r="H301">
        <v>924</v>
      </c>
      <c r="I301">
        <v>17986.168000000001</v>
      </c>
      <c r="J301">
        <v>681133</v>
      </c>
      <c r="P301" s="7">
        <f t="shared" ref="P301" si="841">O300/N302</f>
        <v>1.3965784426520722</v>
      </c>
    </row>
    <row r="302" spans="1:16" x14ac:dyDescent="0.2">
      <c r="A302" s="1"/>
      <c r="B302" s="2"/>
      <c r="D302" t="s">
        <v>2</v>
      </c>
      <c r="E302">
        <v>55.744</v>
      </c>
      <c r="F302">
        <v>637.74699999999996</v>
      </c>
      <c r="G302">
        <v>257</v>
      </c>
      <c r="H302">
        <v>1158</v>
      </c>
      <c r="I302">
        <v>35550.311999999998</v>
      </c>
      <c r="J302">
        <v>1346284</v>
      </c>
      <c r="L302">
        <f t="shared" ref="L302" si="842">E302-E301</f>
        <v>14.365000000000002</v>
      </c>
      <c r="M302">
        <f t="shared" ref="M302" si="843">J302-J300</f>
        <v>268029</v>
      </c>
      <c r="N302">
        <f t="shared" ref="N302" si="844">M302/L302</f>
        <v>18658.475461190392</v>
      </c>
    </row>
    <row r="303" spans="1:16" x14ac:dyDescent="0.2">
      <c r="A303" s="10" t="s">
        <v>25</v>
      </c>
      <c r="B303" s="10" t="s">
        <v>10</v>
      </c>
      <c r="D303" t="s">
        <v>1</v>
      </c>
      <c r="E303">
        <v>36.731000000000002</v>
      </c>
      <c r="F303">
        <v>628.40899999999999</v>
      </c>
      <c r="G303">
        <v>312</v>
      </c>
      <c r="H303">
        <v>1181</v>
      </c>
      <c r="I303">
        <v>23082.151999999998</v>
      </c>
      <c r="J303">
        <v>874117</v>
      </c>
      <c r="O303">
        <f t="shared" ref="O303" si="845">J303/E303</f>
        <v>23797.800223244671</v>
      </c>
    </row>
    <row r="304" spans="1:16" x14ac:dyDescent="0.2">
      <c r="A304" s="10"/>
      <c r="B304" s="10"/>
      <c r="D304" t="s">
        <v>3</v>
      </c>
      <c r="E304">
        <v>36.731000000000002</v>
      </c>
      <c r="F304">
        <v>237.43600000000001</v>
      </c>
      <c r="G304">
        <v>155</v>
      </c>
      <c r="H304">
        <v>370</v>
      </c>
      <c r="I304">
        <v>8721.2980000000007</v>
      </c>
      <c r="J304">
        <v>330274</v>
      </c>
      <c r="P304">
        <f t="shared" ref="P304" si="846">O303/N305</f>
        <v>0.86805184728678231</v>
      </c>
    </row>
    <row r="305" spans="1:16" x14ac:dyDescent="0.2">
      <c r="A305" s="10"/>
      <c r="B305" s="10"/>
      <c r="D305" t="s">
        <v>2</v>
      </c>
      <c r="E305">
        <v>53.973999999999997</v>
      </c>
      <c r="F305">
        <v>658.92200000000003</v>
      </c>
      <c r="G305">
        <v>312</v>
      </c>
      <c r="H305">
        <v>1181</v>
      </c>
      <c r="I305">
        <v>35564.915000000001</v>
      </c>
      <c r="J305">
        <v>1346837</v>
      </c>
      <c r="L305">
        <f t="shared" ref="L305" si="847">E305-E304</f>
        <v>17.242999999999995</v>
      </c>
      <c r="M305">
        <f t="shared" ref="M305" si="848">J305-J303</f>
        <v>472720</v>
      </c>
      <c r="N305">
        <f t="shared" ref="N305" si="849">M305/L305</f>
        <v>27415.182972800565</v>
      </c>
    </row>
    <row r="306" spans="1:16" x14ac:dyDescent="0.2">
      <c r="A306" s="10"/>
      <c r="B306" s="10" t="s">
        <v>10</v>
      </c>
      <c r="D306" t="s">
        <v>1</v>
      </c>
      <c r="E306">
        <v>37.972000000000001</v>
      </c>
      <c r="F306">
        <v>726.34699999999998</v>
      </c>
      <c r="G306">
        <v>440</v>
      </c>
      <c r="H306">
        <v>1132</v>
      </c>
      <c r="I306">
        <v>27580.985000000001</v>
      </c>
      <c r="J306">
        <v>1044487</v>
      </c>
      <c r="O306">
        <f t="shared" ref="O306" si="850">J306/E306</f>
        <v>27506.76814494891</v>
      </c>
    </row>
    <row r="307" spans="1:16" x14ac:dyDescent="0.2">
      <c r="A307" s="10"/>
      <c r="B307" s="10"/>
      <c r="D307" t="s">
        <v>3</v>
      </c>
      <c r="E307">
        <v>37.972000000000001</v>
      </c>
      <c r="F307">
        <v>257.06099999999998</v>
      </c>
      <c r="G307">
        <v>175</v>
      </c>
      <c r="H307">
        <v>470</v>
      </c>
      <c r="I307">
        <v>9761.15</v>
      </c>
      <c r="J307">
        <v>369653</v>
      </c>
      <c r="P307">
        <f t="shared" ref="P307" si="851">O306/N308</f>
        <v>1.0648179111401253</v>
      </c>
    </row>
    <row r="308" spans="1:16" x14ac:dyDescent="0.2">
      <c r="A308" s="10"/>
      <c r="B308" s="10"/>
      <c r="D308" t="s">
        <v>2</v>
      </c>
      <c r="E308">
        <v>55.927999999999997</v>
      </c>
      <c r="F308">
        <v>712.15</v>
      </c>
      <c r="G308">
        <v>440</v>
      </c>
      <c r="H308">
        <v>1132</v>
      </c>
      <c r="I308">
        <v>39829.417999999998</v>
      </c>
      <c r="J308">
        <v>1508333</v>
      </c>
      <c r="L308">
        <f t="shared" ref="L308" si="852">E308-E307</f>
        <v>17.955999999999996</v>
      </c>
      <c r="M308">
        <f t="shared" ref="M308" si="853">J308-J306</f>
        <v>463846</v>
      </c>
      <c r="N308">
        <f t="shared" ref="N308" si="854">M308/L308</f>
        <v>25832.368010692811</v>
      </c>
    </row>
    <row r="309" spans="1:16" x14ac:dyDescent="0.2">
      <c r="A309" s="10" t="s">
        <v>26</v>
      </c>
      <c r="B309" s="10" t="s">
        <v>10</v>
      </c>
      <c r="D309" t="s">
        <v>1</v>
      </c>
      <c r="E309">
        <v>24.928000000000001</v>
      </c>
      <c r="F309">
        <v>500.60399999999998</v>
      </c>
      <c r="G309">
        <v>269</v>
      </c>
      <c r="H309">
        <v>858</v>
      </c>
      <c r="I309">
        <v>12478.802</v>
      </c>
      <c r="J309">
        <v>472570</v>
      </c>
      <c r="O309">
        <f t="shared" ref="O309" si="855">J309/E309</f>
        <v>18957.397304236201</v>
      </c>
    </row>
    <row r="310" spans="1:16" x14ac:dyDescent="0.2">
      <c r="A310" s="10"/>
      <c r="B310" s="10"/>
      <c r="D310" t="s">
        <v>3</v>
      </c>
      <c r="E310">
        <v>24.928000000000001</v>
      </c>
      <c r="F310">
        <v>227.589</v>
      </c>
      <c r="G310">
        <v>156</v>
      </c>
      <c r="H310">
        <v>324</v>
      </c>
      <c r="I310">
        <v>5673.2240000000002</v>
      </c>
      <c r="J310">
        <v>214844</v>
      </c>
      <c r="P310">
        <f t="shared" ref="P310" si="856">O309/N311</f>
        <v>1.0063516732427538</v>
      </c>
    </row>
    <row r="311" spans="1:16" x14ac:dyDescent="0.2">
      <c r="A311" s="10"/>
      <c r="B311" s="10"/>
      <c r="D311" t="s">
        <v>2</v>
      </c>
      <c r="E311">
        <v>58.807000000000002</v>
      </c>
      <c r="F311">
        <v>498.77600000000001</v>
      </c>
      <c r="G311">
        <v>226</v>
      </c>
      <c r="H311">
        <v>1003</v>
      </c>
      <c r="I311">
        <v>29331.376</v>
      </c>
      <c r="J311">
        <v>1110774</v>
      </c>
      <c r="L311">
        <f t="shared" ref="L311" si="857">E311-E310</f>
        <v>33.879000000000005</v>
      </c>
      <c r="M311">
        <f t="shared" ref="M311" si="858">J311-J309</f>
        <v>638204</v>
      </c>
      <c r="N311">
        <f t="shared" ref="N311" si="859">M311/L311</f>
        <v>18837.746096401897</v>
      </c>
    </row>
    <row r="312" spans="1:16" x14ac:dyDescent="0.2">
      <c r="A312" s="10"/>
      <c r="B312" s="10" t="s">
        <v>10</v>
      </c>
      <c r="D312" t="s">
        <v>1</v>
      </c>
      <c r="E312">
        <v>36.915999999999997</v>
      </c>
      <c r="F312">
        <v>518.70399999999995</v>
      </c>
      <c r="G312">
        <v>251</v>
      </c>
      <c r="H312">
        <v>963</v>
      </c>
      <c r="I312">
        <v>19148.438999999998</v>
      </c>
      <c r="J312">
        <v>725148</v>
      </c>
      <c r="O312">
        <f t="shared" ref="O312" si="860">J312/E312</f>
        <v>19643.18994473941</v>
      </c>
    </row>
    <row r="313" spans="1:16" x14ac:dyDescent="0.2">
      <c r="A313" s="10"/>
      <c r="B313" s="10"/>
      <c r="D313" t="s">
        <v>3</v>
      </c>
      <c r="E313">
        <v>36.915999999999997</v>
      </c>
      <c r="F313">
        <v>235.41300000000001</v>
      </c>
      <c r="G313">
        <v>155</v>
      </c>
      <c r="H313">
        <v>337</v>
      </c>
      <c r="I313">
        <v>8690.5079999999998</v>
      </c>
      <c r="J313">
        <v>329108</v>
      </c>
      <c r="P313">
        <f t="shared" ref="P313" si="861">O312/N314</f>
        <v>0.93822624060282589</v>
      </c>
    </row>
    <row r="314" spans="1:16" x14ac:dyDescent="0.2">
      <c r="A314" s="10"/>
      <c r="B314" s="10"/>
      <c r="D314" t="s">
        <v>2</v>
      </c>
      <c r="E314">
        <v>48.746000000000002</v>
      </c>
      <c r="F314">
        <v>526.99199999999996</v>
      </c>
      <c r="G314">
        <v>251</v>
      </c>
      <c r="H314">
        <v>963</v>
      </c>
      <c r="I314">
        <v>25688.713</v>
      </c>
      <c r="J314">
        <v>972827</v>
      </c>
      <c r="L314">
        <f t="shared" ref="L314" si="862">E314-E313</f>
        <v>11.830000000000005</v>
      </c>
      <c r="M314">
        <f t="shared" ref="M314" si="863">J314-J312</f>
        <v>247679</v>
      </c>
      <c r="N314">
        <f t="shared" ref="N314" si="864">M314/L314</f>
        <v>20936.517328825012</v>
      </c>
    </row>
    <row r="315" spans="1:16" x14ac:dyDescent="0.2">
      <c r="A315" s="1" t="s">
        <v>27</v>
      </c>
      <c r="B315" s="1" t="s">
        <v>10</v>
      </c>
      <c r="D315" t="s">
        <v>1</v>
      </c>
      <c r="E315">
        <v>41.59</v>
      </c>
      <c r="F315">
        <v>491.91300000000001</v>
      </c>
      <c r="G315">
        <v>206</v>
      </c>
      <c r="H315">
        <v>960</v>
      </c>
      <c r="I315">
        <v>20458.584999999999</v>
      </c>
      <c r="J315">
        <v>774763</v>
      </c>
      <c r="O315">
        <f t="shared" ref="O315" si="865">J315/E315</f>
        <v>18628.588603029573</v>
      </c>
    </row>
    <row r="316" spans="1:16" x14ac:dyDescent="0.2">
      <c r="A316" s="1"/>
      <c r="B316" s="1"/>
      <c r="D316" t="s">
        <v>3</v>
      </c>
      <c r="E316">
        <v>41.59</v>
      </c>
      <c r="F316">
        <v>316.065</v>
      </c>
      <c r="G316">
        <v>189</v>
      </c>
      <c r="H316">
        <v>494</v>
      </c>
      <c r="I316">
        <v>13145.11</v>
      </c>
      <c r="J316">
        <v>497803</v>
      </c>
      <c r="P316">
        <f t="shared" ref="P316" si="866">O315/N317</f>
        <v>0.81576520630918581</v>
      </c>
    </row>
    <row r="317" spans="1:16" x14ac:dyDescent="0.2">
      <c r="A317" s="1"/>
      <c r="B317" s="1"/>
      <c r="D317" t="s">
        <v>2</v>
      </c>
      <c r="E317">
        <v>60.417999999999999</v>
      </c>
      <c r="F317">
        <v>526.53599999999994</v>
      </c>
      <c r="G317">
        <v>179</v>
      </c>
      <c r="H317">
        <v>1137</v>
      </c>
      <c r="I317">
        <v>31811.978999999999</v>
      </c>
      <c r="J317">
        <v>1204714</v>
      </c>
      <c r="L317">
        <f t="shared" ref="L317" si="867">E317-E316</f>
        <v>18.827999999999996</v>
      </c>
      <c r="M317">
        <f t="shared" ref="M317" si="868">J317-J315</f>
        <v>429951</v>
      </c>
      <c r="N317">
        <f t="shared" ref="N317" si="869">M317/L317</f>
        <v>22835.723390694715</v>
      </c>
    </row>
    <row r="318" spans="1:16" x14ac:dyDescent="0.2">
      <c r="A318" s="1"/>
      <c r="B318" s="2" t="s">
        <v>12</v>
      </c>
      <c r="D318" t="s">
        <v>1</v>
      </c>
      <c r="E318">
        <v>21.125</v>
      </c>
      <c r="F318">
        <v>455.58499999999998</v>
      </c>
      <c r="G318">
        <v>224</v>
      </c>
      <c r="H318">
        <v>756</v>
      </c>
      <c r="I318">
        <v>9624.2330000000002</v>
      </c>
      <c r="J318">
        <v>364468</v>
      </c>
      <c r="O318">
        <f t="shared" ref="O318" si="870">J318/E318</f>
        <v>17252.923076923078</v>
      </c>
    </row>
    <row r="319" spans="1:16" x14ac:dyDescent="0.2">
      <c r="A319" s="1"/>
      <c r="B319" s="2"/>
      <c r="D319" t="s">
        <v>3</v>
      </c>
      <c r="E319">
        <v>21.125</v>
      </c>
      <c r="F319">
        <v>445.68400000000003</v>
      </c>
      <c r="G319">
        <v>223</v>
      </c>
      <c r="H319">
        <v>816</v>
      </c>
      <c r="I319">
        <v>9415.0689999999995</v>
      </c>
      <c r="J319">
        <v>356547</v>
      </c>
      <c r="P319" s="4">
        <f t="shared" ref="P319" si="871">O318/N320</f>
        <v>0.9244615348567099</v>
      </c>
    </row>
    <row r="320" spans="1:16" x14ac:dyDescent="0.2">
      <c r="A320" s="1"/>
      <c r="B320" s="2"/>
      <c r="D320" t="s">
        <v>2</v>
      </c>
      <c r="E320">
        <v>55.427</v>
      </c>
      <c r="F320">
        <v>478.62599999999998</v>
      </c>
      <c r="G320">
        <v>224</v>
      </c>
      <c r="H320">
        <v>863</v>
      </c>
      <c r="I320">
        <v>26528.643</v>
      </c>
      <c r="J320">
        <v>1004635</v>
      </c>
      <c r="L320">
        <f t="shared" ref="L320" si="872">E320-E319</f>
        <v>34.302</v>
      </c>
      <c r="M320">
        <f t="shared" ref="M320" si="873">J320-J318</f>
        <v>640167</v>
      </c>
      <c r="N320">
        <f t="shared" ref="N320" si="874">M320/L320</f>
        <v>18662.672730453036</v>
      </c>
    </row>
    <row r="321" spans="1:16" x14ac:dyDescent="0.2">
      <c r="A321" s="1"/>
      <c r="B321" s="1" t="s">
        <v>10</v>
      </c>
      <c r="D321" t="s">
        <v>1</v>
      </c>
      <c r="E321">
        <v>50.119</v>
      </c>
      <c r="F321">
        <v>712.33799999999997</v>
      </c>
      <c r="G321">
        <v>290</v>
      </c>
      <c r="H321">
        <v>1408</v>
      </c>
      <c r="I321">
        <v>35701.724999999999</v>
      </c>
      <c r="J321">
        <v>1352018</v>
      </c>
      <c r="O321">
        <f t="shared" ref="O321" si="875">J321/E321</f>
        <v>26976.156746942277</v>
      </c>
    </row>
    <row r="322" spans="1:16" x14ac:dyDescent="0.2">
      <c r="A322" s="1"/>
      <c r="B322" s="1"/>
      <c r="D322" t="s">
        <v>3</v>
      </c>
      <c r="E322">
        <v>50.119</v>
      </c>
      <c r="F322">
        <v>269.36900000000003</v>
      </c>
      <c r="G322">
        <v>160</v>
      </c>
      <c r="H322">
        <v>521</v>
      </c>
      <c r="I322">
        <v>13500.539000000001</v>
      </c>
      <c r="J322">
        <v>511263</v>
      </c>
      <c r="P322" s="7">
        <f t="shared" ref="P322" si="876">O321/N323</f>
        <v>1.6656887022179481</v>
      </c>
    </row>
    <row r="323" spans="1:16" x14ac:dyDescent="0.2">
      <c r="A323" s="1"/>
      <c r="B323" s="1"/>
      <c r="D323" t="s">
        <v>2</v>
      </c>
      <c r="E323">
        <v>59.863</v>
      </c>
      <c r="F323">
        <v>666.00099999999998</v>
      </c>
      <c r="G323">
        <v>306</v>
      </c>
      <c r="H323">
        <v>1408</v>
      </c>
      <c r="I323">
        <v>39868.79</v>
      </c>
      <c r="J323">
        <v>1509824</v>
      </c>
      <c r="L323">
        <f t="shared" ref="L323" si="877">E323-E322</f>
        <v>9.7439999999999998</v>
      </c>
      <c r="M323">
        <f t="shared" ref="M323" si="878">J323-J321</f>
        <v>157806</v>
      </c>
      <c r="N323">
        <f t="shared" ref="N323" si="879">M323/L323</f>
        <v>16195.197044334976</v>
      </c>
    </row>
    <row r="324" spans="1:16" x14ac:dyDescent="0.2">
      <c r="A324" s="1"/>
      <c r="B324" s="2" t="s">
        <v>12</v>
      </c>
      <c r="D324" t="s">
        <v>1</v>
      </c>
      <c r="E324">
        <v>19.382000000000001</v>
      </c>
      <c r="F324">
        <v>453.745</v>
      </c>
      <c r="G324">
        <v>244</v>
      </c>
      <c r="H324">
        <v>817</v>
      </c>
      <c r="I324">
        <v>8794.5750000000007</v>
      </c>
      <c r="J324">
        <v>333049</v>
      </c>
      <c r="O324">
        <f t="shared" ref="O324" si="880">J324/E324</f>
        <v>17183.41760396244</v>
      </c>
    </row>
    <row r="325" spans="1:16" x14ac:dyDescent="0.2">
      <c r="A325" s="1"/>
      <c r="B325" s="2"/>
      <c r="D325" t="s">
        <v>3</v>
      </c>
      <c r="E325">
        <v>19.382000000000001</v>
      </c>
      <c r="F325">
        <v>520.18299999999999</v>
      </c>
      <c r="G325">
        <v>258</v>
      </c>
      <c r="H325">
        <v>943</v>
      </c>
      <c r="I325">
        <v>10082.276</v>
      </c>
      <c r="J325">
        <v>381814</v>
      </c>
      <c r="P325" s="7">
        <f t="shared" ref="P325" si="881">O324/N326</f>
        <v>1.1749732116292946</v>
      </c>
    </row>
    <row r="326" spans="1:16" x14ac:dyDescent="0.2">
      <c r="A326" s="1"/>
      <c r="B326" s="2"/>
      <c r="D326" t="s">
        <v>2</v>
      </c>
      <c r="E326">
        <v>31.846</v>
      </c>
      <c r="F326">
        <v>427.30399999999997</v>
      </c>
      <c r="G326">
        <v>193</v>
      </c>
      <c r="H326">
        <v>817</v>
      </c>
      <c r="I326">
        <v>13607.906000000001</v>
      </c>
      <c r="J326">
        <v>515329</v>
      </c>
      <c r="L326">
        <f t="shared" ref="L326" si="882">E326-E325</f>
        <v>12.463999999999999</v>
      </c>
      <c r="M326">
        <f t="shared" ref="M326" si="883">J326-J324</f>
        <v>182280</v>
      </c>
      <c r="N326">
        <f t="shared" ref="N326" si="884">M326/L326</f>
        <v>14624.51861360719</v>
      </c>
    </row>
    <row r="327" spans="1:16" x14ac:dyDescent="0.2">
      <c r="A327" s="10" t="s">
        <v>28</v>
      </c>
      <c r="B327" s="10" t="s">
        <v>10</v>
      </c>
      <c r="D327" t="s">
        <v>1</v>
      </c>
      <c r="E327">
        <v>21.414999999999999</v>
      </c>
      <c r="F327">
        <v>438.80399999999997</v>
      </c>
      <c r="G327">
        <v>220</v>
      </c>
      <c r="H327">
        <v>912</v>
      </c>
      <c r="I327">
        <v>9397.1919999999991</v>
      </c>
      <c r="J327">
        <v>355870</v>
      </c>
      <c r="O327">
        <f t="shared" ref="O327" si="885">J327/E327</f>
        <v>16617.791267802942</v>
      </c>
    </row>
    <row r="328" spans="1:16" x14ac:dyDescent="0.2">
      <c r="A328" s="10"/>
      <c r="B328" s="10"/>
      <c r="D328" t="s">
        <v>3</v>
      </c>
      <c r="E328">
        <v>21.414999999999999</v>
      </c>
      <c r="F328">
        <v>221.56700000000001</v>
      </c>
      <c r="G328">
        <v>148</v>
      </c>
      <c r="H328">
        <v>412</v>
      </c>
      <c r="I328">
        <v>4744.9650000000001</v>
      </c>
      <c r="J328">
        <v>179691</v>
      </c>
      <c r="P328">
        <f t="shared" ref="P328" si="886">O327/N329</f>
        <v>0.9946839585170385</v>
      </c>
    </row>
    <row r="329" spans="1:16" x14ac:dyDescent="0.2">
      <c r="A329" s="10"/>
      <c r="B329" s="10"/>
      <c r="D329" t="s">
        <v>2</v>
      </c>
      <c r="E329">
        <v>42.356000000000002</v>
      </c>
      <c r="F329">
        <v>439.97699999999998</v>
      </c>
      <c r="G329">
        <v>218</v>
      </c>
      <c r="H329">
        <v>1237</v>
      </c>
      <c r="I329">
        <v>18635.498</v>
      </c>
      <c r="J329">
        <v>705723</v>
      </c>
      <c r="L329">
        <f t="shared" ref="L329" si="887">E329-E328</f>
        <v>20.941000000000003</v>
      </c>
      <c r="M329">
        <f t="shared" ref="M329" si="888">J329-J327</f>
        <v>349853</v>
      </c>
      <c r="N329">
        <f t="shared" ref="N329" si="889">M329/L329</f>
        <v>16706.604269137097</v>
      </c>
    </row>
    <row r="330" spans="1:16" x14ac:dyDescent="0.2">
      <c r="A330" s="10"/>
      <c r="B330" s="10" t="s">
        <v>10</v>
      </c>
      <c r="D330" t="s">
        <v>1</v>
      </c>
      <c r="E330">
        <v>42.856999999999999</v>
      </c>
      <c r="F330">
        <v>577.29</v>
      </c>
      <c r="G330">
        <v>300</v>
      </c>
      <c r="H330">
        <v>1090</v>
      </c>
      <c r="I330">
        <v>24741.098000000002</v>
      </c>
      <c r="J330">
        <v>936941</v>
      </c>
      <c r="O330">
        <f t="shared" ref="O330" si="890">J330/E330</f>
        <v>21862.029540098469</v>
      </c>
    </row>
    <row r="331" spans="1:16" x14ac:dyDescent="0.2">
      <c r="A331" s="10"/>
      <c r="B331" s="10"/>
      <c r="D331" t="s">
        <v>3</v>
      </c>
      <c r="E331">
        <v>42.856999999999999</v>
      </c>
      <c r="F331">
        <v>232.39699999999999</v>
      </c>
      <c r="G331">
        <v>143</v>
      </c>
      <c r="H331">
        <v>444</v>
      </c>
      <c r="I331">
        <v>9959.9359999999997</v>
      </c>
      <c r="J331">
        <v>377181</v>
      </c>
      <c r="P331">
        <f t="shared" ref="P331" si="891">O330/N332</f>
        <v>1.0232584459800906</v>
      </c>
    </row>
    <row r="332" spans="1:16" x14ac:dyDescent="0.2">
      <c r="A332" s="10"/>
      <c r="B332" s="10"/>
      <c r="D332" t="s">
        <v>2</v>
      </c>
      <c r="E332">
        <v>85.477000000000004</v>
      </c>
      <c r="F332">
        <v>570.75099999999998</v>
      </c>
      <c r="G332">
        <v>300</v>
      </c>
      <c r="H332">
        <v>1090</v>
      </c>
      <c r="I332">
        <v>48786.127999999997</v>
      </c>
      <c r="J332">
        <v>1847522</v>
      </c>
      <c r="L332">
        <f t="shared" ref="L332" si="892">E332-E331</f>
        <v>42.620000000000005</v>
      </c>
      <c r="M332">
        <f t="shared" ref="M332" si="893">J332-J330</f>
        <v>910581</v>
      </c>
      <c r="N332">
        <f t="shared" ref="N332" si="894">M332/L332</f>
        <v>21365.110276865318</v>
      </c>
    </row>
    <row r="333" spans="1:16" x14ac:dyDescent="0.2">
      <c r="A333" s="10"/>
      <c r="B333" s="10" t="s">
        <v>10</v>
      </c>
      <c r="D333" t="s">
        <v>1</v>
      </c>
      <c r="E333">
        <v>26.248000000000001</v>
      </c>
      <c r="F333">
        <v>687.12</v>
      </c>
      <c r="G333">
        <v>305</v>
      </c>
      <c r="H333">
        <v>1365</v>
      </c>
      <c r="I333">
        <v>18035.39</v>
      </c>
      <c r="J333">
        <v>682997</v>
      </c>
      <c r="O333">
        <f t="shared" ref="O333" si="895">J333/E333</f>
        <v>26020.915879305088</v>
      </c>
    </row>
    <row r="334" spans="1:16" x14ac:dyDescent="0.2">
      <c r="A334" s="10"/>
      <c r="B334" s="10"/>
      <c r="D334" t="s">
        <v>3</v>
      </c>
      <c r="E334">
        <v>26.248000000000001</v>
      </c>
      <c r="F334">
        <v>211.53800000000001</v>
      </c>
      <c r="G334">
        <v>152</v>
      </c>
      <c r="H334">
        <v>344</v>
      </c>
      <c r="I334">
        <v>5552.4160000000002</v>
      </c>
      <c r="J334">
        <v>210269</v>
      </c>
      <c r="P334" s="7">
        <f t="shared" ref="P334" si="896">O333/N335</f>
        <v>1.2289400301508409</v>
      </c>
    </row>
    <row r="335" spans="1:16" x14ac:dyDescent="0.2">
      <c r="A335" s="10"/>
      <c r="B335" s="10"/>
      <c r="D335" t="s">
        <v>2</v>
      </c>
      <c r="E335">
        <v>47.584000000000003</v>
      </c>
      <c r="F335">
        <v>629.71900000000005</v>
      </c>
      <c r="G335">
        <v>243</v>
      </c>
      <c r="H335">
        <v>1365</v>
      </c>
      <c r="I335">
        <v>29964.598000000002</v>
      </c>
      <c r="J335">
        <v>1134754</v>
      </c>
      <c r="L335">
        <f t="shared" ref="L335" si="897">E335-E334</f>
        <v>21.336000000000002</v>
      </c>
      <c r="M335">
        <f t="shared" ref="M335" si="898">J335-J333</f>
        <v>451757</v>
      </c>
      <c r="N335">
        <f t="shared" ref="N335" si="899">M335/L335</f>
        <v>21173.462692163477</v>
      </c>
    </row>
    <row r="336" spans="1:16" x14ac:dyDescent="0.2">
      <c r="A336" s="1" t="s">
        <v>29</v>
      </c>
      <c r="B336" s="2" t="s">
        <v>12</v>
      </c>
      <c r="D336" t="s">
        <v>1</v>
      </c>
      <c r="E336">
        <v>21.495000000000001</v>
      </c>
      <c r="F336">
        <v>632.78599999999994</v>
      </c>
      <c r="G336">
        <v>395</v>
      </c>
      <c r="H336">
        <v>1082</v>
      </c>
      <c r="I336">
        <v>13601.543</v>
      </c>
      <c r="J336">
        <v>515088</v>
      </c>
      <c r="O336">
        <f t="shared" ref="O336" si="900">J336/E336</f>
        <v>23963.154221912071</v>
      </c>
    </row>
    <row r="337" spans="1:16" x14ac:dyDescent="0.2">
      <c r="A337" s="1"/>
      <c r="B337" s="2"/>
      <c r="D337" t="s">
        <v>3</v>
      </c>
      <c r="E337">
        <v>21.495000000000001</v>
      </c>
      <c r="F337">
        <v>556.47299999999996</v>
      </c>
      <c r="G337">
        <v>187</v>
      </c>
      <c r="H337">
        <v>1439</v>
      </c>
      <c r="I337">
        <v>11961.213</v>
      </c>
      <c r="J337">
        <v>452969</v>
      </c>
      <c r="P337" s="4">
        <f t="shared" ref="P337" si="901">O336/N338</f>
        <v>0.89147750833718675</v>
      </c>
    </row>
    <row r="338" spans="1:16" x14ac:dyDescent="0.2">
      <c r="A338" s="1"/>
      <c r="B338" s="2"/>
      <c r="D338" t="s">
        <v>2</v>
      </c>
      <c r="E338">
        <v>38.817</v>
      </c>
      <c r="F338">
        <v>667.14800000000002</v>
      </c>
      <c r="G338">
        <v>325</v>
      </c>
      <c r="H338">
        <v>1392</v>
      </c>
      <c r="I338">
        <v>25896.821</v>
      </c>
      <c r="J338">
        <v>980708</v>
      </c>
      <c r="L338">
        <f t="shared" ref="L338" si="902">E338-E337</f>
        <v>17.321999999999999</v>
      </c>
      <c r="M338">
        <f t="shared" ref="M338" si="903">J338-J336</f>
        <v>465620</v>
      </c>
      <c r="N338">
        <f t="shared" ref="N338" si="904">M338/L338</f>
        <v>26880.267867451796</v>
      </c>
    </row>
    <row r="339" spans="1:16" x14ac:dyDescent="0.2">
      <c r="A339" s="1"/>
      <c r="B339" s="2" t="s">
        <v>12</v>
      </c>
      <c r="D339" t="s">
        <v>1</v>
      </c>
      <c r="E339">
        <v>30.498999999999999</v>
      </c>
      <c r="F339">
        <v>895.52599999999995</v>
      </c>
      <c r="G339">
        <v>528</v>
      </c>
      <c r="H339">
        <v>1813</v>
      </c>
      <c r="I339">
        <v>27312.856</v>
      </c>
      <c r="J339">
        <v>1034333</v>
      </c>
      <c r="O339">
        <f t="shared" ref="O339" si="905">J339/E339</f>
        <v>33913.669300632806</v>
      </c>
    </row>
    <row r="340" spans="1:16" x14ac:dyDescent="0.2">
      <c r="A340" s="1"/>
      <c r="B340" s="2"/>
      <c r="D340" t="s">
        <v>3</v>
      </c>
      <c r="E340">
        <v>30.498999999999999</v>
      </c>
      <c r="F340">
        <v>839.51700000000005</v>
      </c>
      <c r="G340">
        <v>267</v>
      </c>
      <c r="H340">
        <v>2180</v>
      </c>
      <c r="I340">
        <v>25604.609</v>
      </c>
      <c r="J340">
        <v>969642</v>
      </c>
      <c r="P340" s="7">
        <f t="shared" ref="P340" si="906">O339/N341</f>
        <v>1.2872323386365041</v>
      </c>
    </row>
    <row r="341" spans="1:16" x14ac:dyDescent="0.2">
      <c r="A341" s="1"/>
      <c r="B341" s="2"/>
      <c r="D341" t="s">
        <v>2</v>
      </c>
      <c r="E341">
        <v>41.828000000000003</v>
      </c>
      <c r="F341">
        <v>841.42</v>
      </c>
      <c r="G341">
        <v>453</v>
      </c>
      <c r="H341">
        <v>1813</v>
      </c>
      <c r="I341">
        <v>35194.487999999998</v>
      </c>
      <c r="J341">
        <v>1332809</v>
      </c>
      <c r="L341">
        <f t="shared" ref="L341" si="907">E341-E340</f>
        <v>11.329000000000004</v>
      </c>
      <c r="M341">
        <f t="shared" ref="M341" si="908">J341-J339</f>
        <v>298476</v>
      </c>
      <c r="N341">
        <f t="shared" ref="N341" si="909">M341/L341</f>
        <v>26346.191190749396</v>
      </c>
    </row>
    <row r="342" spans="1:16" x14ac:dyDescent="0.2">
      <c r="A342" s="1"/>
      <c r="B342" s="2" t="s">
        <v>12</v>
      </c>
      <c r="D342" t="s">
        <v>1</v>
      </c>
      <c r="E342">
        <v>21.388999999999999</v>
      </c>
      <c r="F342">
        <v>595.08600000000001</v>
      </c>
      <c r="G342">
        <v>383</v>
      </c>
      <c r="H342">
        <v>861</v>
      </c>
      <c r="I342">
        <v>12728.341</v>
      </c>
      <c r="J342">
        <v>482020</v>
      </c>
      <c r="O342">
        <f t="shared" ref="O342" si="910">J342/E342</f>
        <v>22535.882930478285</v>
      </c>
    </row>
    <row r="343" spans="1:16" x14ac:dyDescent="0.2">
      <c r="A343" s="1"/>
      <c r="B343" s="2"/>
      <c r="D343" t="s">
        <v>3</v>
      </c>
      <c r="E343">
        <v>21.388999999999999</v>
      </c>
      <c r="F343">
        <v>1208.6959999999999</v>
      </c>
      <c r="G343">
        <v>505</v>
      </c>
      <c r="H343">
        <v>2612</v>
      </c>
      <c r="I343">
        <v>25852.881000000001</v>
      </c>
      <c r="J343">
        <v>979044</v>
      </c>
      <c r="P343" s="4">
        <f t="shared" ref="P343" si="911">O342/N344</f>
        <v>0.95561483265332314</v>
      </c>
    </row>
    <row r="344" spans="1:16" x14ac:dyDescent="0.2">
      <c r="A344" s="1"/>
      <c r="B344" s="2"/>
      <c r="D344" t="s">
        <v>2</v>
      </c>
      <c r="E344">
        <v>42.884</v>
      </c>
      <c r="F344">
        <v>608.94600000000003</v>
      </c>
      <c r="G344">
        <v>341</v>
      </c>
      <c r="H344">
        <v>966</v>
      </c>
      <c r="I344">
        <v>26113.88</v>
      </c>
      <c r="J344">
        <v>988928</v>
      </c>
      <c r="L344">
        <f t="shared" ref="L344" si="912">E344-E343</f>
        <v>21.495000000000001</v>
      </c>
      <c r="M344">
        <f t="shared" ref="M344" si="913">J344-J342</f>
        <v>506908</v>
      </c>
      <c r="N344">
        <f t="shared" ref="N344" si="914">M344/L344</f>
        <v>23582.600604791813</v>
      </c>
    </row>
    <row r="345" spans="1:16" x14ac:dyDescent="0.2">
      <c r="A345" s="1"/>
      <c r="B345" s="2" t="s">
        <v>12</v>
      </c>
      <c r="D345" t="s">
        <v>1</v>
      </c>
      <c r="E345">
        <v>27.911000000000001</v>
      </c>
      <c r="F345">
        <v>377.75400000000002</v>
      </c>
      <c r="G345">
        <v>175</v>
      </c>
      <c r="H345">
        <v>700</v>
      </c>
      <c r="I345">
        <v>10543.646000000001</v>
      </c>
      <c r="J345">
        <v>399286</v>
      </c>
      <c r="O345">
        <f t="shared" ref="O345" si="915">J345/E345</f>
        <v>14305.685930278385</v>
      </c>
    </row>
    <row r="346" spans="1:16" x14ac:dyDescent="0.2">
      <c r="A346" s="1"/>
      <c r="B346" s="2"/>
      <c r="D346" t="s">
        <v>3</v>
      </c>
      <c r="E346">
        <v>27.911000000000001</v>
      </c>
      <c r="F346">
        <v>488.40100000000001</v>
      </c>
      <c r="G346">
        <v>223</v>
      </c>
      <c r="H346">
        <v>897</v>
      </c>
      <c r="I346">
        <v>13631.963</v>
      </c>
      <c r="J346">
        <v>516240</v>
      </c>
      <c r="P346" s="4">
        <f t="shared" ref="P346" si="916">O345/N347</f>
        <v>0.92205004467970142</v>
      </c>
    </row>
    <row r="347" spans="1:16" x14ac:dyDescent="0.2">
      <c r="A347" s="1"/>
      <c r="B347" s="2"/>
      <c r="D347" t="s">
        <v>2</v>
      </c>
      <c r="E347">
        <v>47.399000000000001</v>
      </c>
      <c r="F347">
        <v>390.88799999999998</v>
      </c>
      <c r="G347">
        <v>202</v>
      </c>
      <c r="H347">
        <v>700</v>
      </c>
      <c r="I347">
        <v>18527.787</v>
      </c>
      <c r="J347">
        <v>701644</v>
      </c>
      <c r="L347">
        <f t="shared" ref="L347" si="917">E347-E346</f>
        <v>19.488</v>
      </c>
      <c r="M347">
        <f t="shared" ref="M347" si="918">J347-J345</f>
        <v>302358</v>
      </c>
      <c r="N347">
        <f t="shared" ref="N347" si="919">M347/L347</f>
        <v>15515.086206896553</v>
      </c>
    </row>
    <row r="348" spans="1:16" x14ac:dyDescent="0.2">
      <c r="A348" s="1" t="s">
        <v>30</v>
      </c>
      <c r="B348" s="2" t="s">
        <v>12</v>
      </c>
      <c r="D348" t="s">
        <v>1</v>
      </c>
      <c r="E348">
        <v>23.29</v>
      </c>
      <c r="F348">
        <v>505.495</v>
      </c>
      <c r="G348">
        <v>280</v>
      </c>
      <c r="H348">
        <v>850</v>
      </c>
      <c r="I348">
        <v>11773.147000000001</v>
      </c>
      <c r="J348">
        <v>445847</v>
      </c>
      <c r="O348">
        <f t="shared" ref="O348" si="920">J348/E348</f>
        <v>19143.28037784457</v>
      </c>
    </row>
    <row r="349" spans="1:16" x14ac:dyDescent="0.2">
      <c r="A349" s="1"/>
      <c r="B349" s="2"/>
      <c r="D349" t="s">
        <v>3</v>
      </c>
      <c r="E349">
        <v>23.29</v>
      </c>
      <c r="F349">
        <v>568.16899999999998</v>
      </c>
      <c r="G349">
        <v>222</v>
      </c>
      <c r="H349">
        <v>1319</v>
      </c>
      <c r="I349">
        <v>13232.832</v>
      </c>
      <c r="J349">
        <v>501125</v>
      </c>
      <c r="P349" s="4">
        <f t="shared" ref="P349" si="921">O348/N350</f>
        <v>1.0131643090332101</v>
      </c>
    </row>
    <row r="350" spans="1:16" x14ac:dyDescent="0.2">
      <c r="A350" s="1"/>
      <c r="B350" s="2"/>
      <c r="D350" t="s">
        <v>2</v>
      </c>
      <c r="E350">
        <v>49.036000000000001</v>
      </c>
      <c r="F350">
        <v>502.05</v>
      </c>
      <c r="G350">
        <v>211</v>
      </c>
      <c r="H350">
        <v>929</v>
      </c>
      <c r="I350">
        <v>24618.705000000002</v>
      </c>
      <c r="J350">
        <v>932306</v>
      </c>
      <c r="L350">
        <f t="shared" ref="L350" si="922">E350-E349</f>
        <v>25.746000000000002</v>
      </c>
      <c r="M350">
        <f t="shared" ref="M350" si="923">J350-J348</f>
        <v>486459</v>
      </c>
      <c r="N350">
        <f t="shared" ref="N350" si="924">M350/L350</f>
        <v>18894.546725704964</v>
      </c>
    </row>
    <row r="351" spans="1:16" x14ac:dyDescent="0.2">
      <c r="A351" s="1"/>
      <c r="B351" s="1" t="s">
        <v>10</v>
      </c>
      <c r="D351" t="s">
        <v>1</v>
      </c>
      <c r="E351">
        <v>21.652999999999999</v>
      </c>
      <c r="F351">
        <v>517.52599999999995</v>
      </c>
      <c r="G351">
        <v>261</v>
      </c>
      <c r="H351">
        <v>1044</v>
      </c>
      <c r="I351">
        <v>11206.047</v>
      </c>
      <c r="J351">
        <v>424371</v>
      </c>
      <c r="O351">
        <f t="shared" ref="O351" si="925">J351/E351</f>
        <v>19598.716113240662</v>
      </c>
    </row>
    <row r="352" spans="1:16" x14ac:dyDescent="0.2">
      <c r="A352" s="1"/>
      <c r="B352" s="1"/>
      <c r="D352" t="s">
        <v>3</v>
      </c>
      <c r="E352">
        <v>21.652999999999999</v>
      </c>
      <c r="F352">
        <v>357.41300000000001</v>
      </c>
      <c r="G352">
        <v>211</v>
      </c>
      <c r="H352">
        <v>580</v>
      </c>
      <c r="I352">
        <v>7739.1170000000002</v>
      </c>
      <c r="J352">
        <v>293079</v>
      </c>
      <c r="P352">
        <f t="shared" ref="P352" si="926">O351/N353</f>
        <v>0.99998906225811846</v>
      </c>
    </row>
    <row r="353" spans="1:16" x14ac:dyDescent="0.2">
      <c r="A353" s="1"/>
      <c r="B353" s="1"/>
      <c r="D353" t="s">
        <v>2</v>
      </c>
      <c r="E353">
        <v>28.571999999999999</v>
      </c>
      <c r="F353">
        <v>517.53800000000001</v>
      </c>
      <c r="G353">
        <v>272</v>
      </c>
      <c r="H353">
        <v>851</v>
      </c>
      <c r="I353">
        <v>14786.866</v>
      </c>
      <c r="J353">
        <v>559976</v>
      </c>
      <c r="L353">
        <f t="shared" ref="L353" si="927">E353-E352</f>
        <v>6.9190000000000005</v>
      </c>
      <c r="M353">
        <f t="shared" ref="M353" si="928">J353-J351</f>
        <v>135605</v>
      </c>
      <c r="N353">
        <f t="shared" ref="N353" si="929">M353/L353</f>
        <v>19598.93048128342</v>
      </c>
    </row>
    <row r="354" spans="1:16" x14ac:dyDescent="0.2">
      <c r="A354" s="1"/>
      <c r="B354" s="1" t="s">
        <v>10</v>
      </c>
      <c r="D354" t="s">
        <v>1</v>
      </c>
      <c r="E354">
        <v>30.577999999999999</v>
      </c>
      <c r="F354">
        <v>772.53899999999999</v>
      </c>
      <c r="G354">
        <v>405</v>
      </c>
      <c r="H354">
        <v>1230</v>
      </c>
      <c r="I354">
        <v>23623.030999999999</v>
      </c>
      <c r="J354">
        <v>894600</v>
      </c>
      <c r="O354">
        <f t="shared" ref="O354" si="930">J354/E354</f>
        <v>29256.328079011055</v>
      </c>
    </row>
    <row r="355" spans="1:16" x14ac:dyDescent="0.2">
      <c r="A355" s="1"/>
      <c r="B355" s="1"/>
      <c r="D355" t="s">
        <v>3</v>
      </c>
      <c r="E355">
        <v>30.577999999999999</v>
      </c>
      <c r="F355">
        <v>251.31100000000001</v>
      </c>
      <c r="G355">
        <v>163</v>
      </c>
      <c r="H355">
        <v>412</v>
      </c>
      <c r="I355">
        <v>7684.6940000000004</v>
      </c>
      <c r="J355">
        <v>291018</v>
      </c>
      <c r="P355">
        <f t="shared" ref="P355" si="931">O354/N356</f>
        <v>1.1923939390368852</v>
      </c>
    </row>
    <row r="356" spans="1:16" x14ac:dyDescent="0.2">
      <c r="A356" s="1"/>
      <c r="B356" s="1"/>
      <c r="D356" t="s">
        <v>2</v>
      </c>
      <c r="E356">
        <v>38.527000000000001</v>
      </c>
      <c r="F356">
        <v>746.83699999999999</v>
      </c>
      <c r="G356">
        <v>335</v>
      </c>
      <c r="H356">
        <v>1230</v>
      </c>
      <c r="I356">
        <v>28773.173999999999</v>
      </c>
      <c r="J356">
        <v>1089635</v>
      </c>
      <c r="L356">
        <f t="shared" ref="L356" si="932">E356-E355</f>
        <v>7.9490000000000016</v>
      </c>
      <c r="M356">
        <f t="shared" ref="M356" si="933">J356-J354</f>
        <v>195035</v>
      </c>
      <c r="N356">
        <f t="shared" ref="N356" si="934">M356/L356</f>
        <v>24535.79066549251</v>
      </c>
    </row>
    <row r="357" spans="1:16" x14ac:dyDescent="0.2">
      <c r="A357" s="1"/>
      <c r="B357" s="1" t="s">
        <v>10</v>
      </c>
      <c r="D357" t="s">
        <v>1</v>
      </c>
      <c r="E357">
        <v>40.375</v>
      </c>
      <c r="F357">
        <v>578.76800000000003</v>
      </c>
      <c r="G357">
        <v>233</v>
      </c>
      <c r="H357">
        <v>1064</v>
      </c>
      <c r="I357">
        <v>23367.867999999999</v>
      </c>
      <c r="J357">
        <v>884937</v>
      </c>
      <c r="O357">
        <f t="shared" ref="O357" si="935">J357/E357</f>
        <v>21917.94427244582</v>
      </c>
    </row>
    <row r="358" spans="1:16" x14ac:dyDescent="0.2">
      <c r="A358" s="1"/>
      <c r="B358" s="1"/>
      <c r="D358" t="s">
        <v>3</v>
      </c>
      <c r="E358">
        <v>40.375</v>
      </c>
      <c r="F358">
        <v>219.92699999999999</v>
      </c>
      <c r="G358">
        <v>139</v>
      </c>
      <c r="H358">
        <v>363</v>
      </c>
      <c r="I358">
        <v>8879.6029999999992</v>
      </c>
      <c r="J358">
        <v>336269</v>
      </c>
      <c r="P358">
        <f t="shared" ref="P358" si="936">O357/N359</f>
        <v>0.94181937200929911</v>
      </c>
    </row>
    <row r="359" spans="1:16" x14ac:dyDescent="0.2">
      <c r="A359" s="1"/>
      <c r="B359" s="1"/>
      <c r="D359" t="s">
        <v>2</v>
      </c>
      <c r="E359">
        <v>48.587000000000003</v>
      </c>
      <c r="F359">
        <v>584.80799999999999</v>
      </c>
      <c r="G359">
        <v>233</v>
      </c>
      <c r="H359">
        <v>1276</v>
      </c>
      <c r="I359">
        <v>28414.34</v>
      </c>
      <c r="J359">
        <v>1076046</v>
      </c>
      <c r="L359">
        <f t="shared" ref="L359" si="937">E359-E358</f>
        <v>8.2120000000000033</v>
      </c>
      <c r="M359">
        <f t="shared" ref="M359" si="938">J359-J357</f>
        <v>191109</v>
      </c>
      <c r="N359">
        <f t="shared" ref="N359" si="939">M359/L359</f>
        <v>23271.919142717965</v>
      </c>
    </row>
    <row r="360" spans="1:16" x14ac:dyDescent="0.2">
      <c r="A360" s="1"/>
      <c r="B360" s="2" t="s">
        <v>12</v>
      </c>
      <c r="D360" t="s">
        <v>1</v>
      </c>
      <c r="E360">
        <v>38.869999999999997</v>
      </c>
      <c r="F360">
        <v>566.90599999999995</v>
      </c>
      <c r="G360">
        <v>251</v>
      </c>
      <c r="H360">
        <v>955</v>
      </c>
      <c r="I360">
        <v>22035.646000000001</v>
      </c>
      <c r="J360">
        <v>834486</v>
      </c>
      <c r="O360">
        <f t="shared" ref="O360" si="940">J360/E360</f>
        <v>21468.639053254439</v>
      </c>
    </row>
    <row r="361" spans="1:16" x14ac:dyDescent="0.2">
      <c r="A361" s="1"/>
      <c r="B361" s="2"/>
      <c r="D361" t="s">
        <v>3</v>
      </c>
      <c r="E361">
        <v>38.869999999999997</v>
      </c>
      <c r="F361">
        <v>678.66800000000001</v>
      </c>
      <c r="G361">
        <v>266</v>
      </c>
      <c r="H361">
        <v>1595</v>
      </c>
      <c r="I361">
        <v>26379.844000000001</v>
      </c>
      <c r="J361">
        <v>999000</v>
      </c>
      <c r="P361" s="4">
        <f t="shared" ref="P361" si="941">O360/N362</f>
        <v>1.0559581580805995</v>
      </c>
    </row>
    <row r="362" spans="1:16" x14ac:dyDescent="0.2">
      <c r="A362" s="1"/>
      <c r="B362" s="2"/>
      <c r="D362" t="s">
        <v>2</v>
      </c>
      <c r="E362">
        <v>73.224999999999994</v>
      </c>
      <c r="F362">
        <v>552.81500000000005</v>
      </c>
      <c r="G362">
        <v>258</v>
      </c>
      <c r="H362">
        <v>1061</v>
      </c>
      <c r="I362">
        <v>40479.618999999999</v>
      </c>
      <c r="J362">
        <v>1532956</v>
      </c>
      <c r="K362" t="s">
        <v>31</v>
      </c>
      <c r="L362">
        <f t="shared" ref="L362" si="942">E362-E361</f>
        <v>34.354999999999997</v>
      </c>
      <c r="M362">
        <f t="shared" ref="M362" si="943">J362-J360</f>
        <v>698470</v>
      </c>
      <c r="N362">
        <f t="shared" ref="N362" si="944">M362/L362</f>
        <v>20330.956192693931</v>
      </c>
    </row>
  </sheetData>
  <mergeCells count="96">
    <mergeCell ref="B234:B236"/>
    <mergeCell ref="A234:A236"/>
    <mergeCell ref="B36:B38"/>
    <mergeCell ref="B3:B5"/>
    <mergeCell ref="B12:B14"/>
    <mergeCell ref="B15:B17"/>
    <mergeCell ref="B18:B20"/>
    <mergeCell ref="B21:B23"/>
    <mergeCell ref="B24:B26"/>
    <mergeCell ref="B30:B32"/>
    <mergeCell ref="B33:B35"/>
    <mergeCell ref="B72:B74"/>
    <mergeCell ref="B39:B41"/>
    <mergeCell ref="B42:B44"/>
    <mergeCell ref="B45:B47"/>
    <mergeCell ref="B48:B50"/>
    <mergeCell ref="B63:B65"/>
    <mergeCell ref="B66:B68"/>
    <mergeCell ref="B108:B110"/>
    <mergeCell ref="B75:B77"/>
    <mergeCell ref="B78:B80"/>
    <mergeCell ref="B81:B83"/>
    <mergeCell ref="B84:B86"/>
    <mergeCell ref="B93:B95"/>
    <mergeCell ref="B96:B98"/>
    <mergeCell ref="B99:B101"/>
    <mergeCell ref="B102:B104"/>
    <mergeCell ref="B105:B107"/>
    <mergeCell ref="B147:B149"/>
    <mergeCell ref="B111:B113"/>
    <mergeCell ref="B114:B116"/>
    <mergeCell ref="B117:B119"/>
    <mergeCell ref="B120:B122"/>
    <mergeCell ref="B123:B125"/>
    <mergeCell ref="B126:B128"/>
    <mergeCell ref="B129:B131"/>
    <mergeCell ref="B135:B137"/>
    <mergeCell ref="B138:B140"/>
    <mergeCell ref="B141:B143"/>
    <mergeCell ref="B186:B188"/>
    <mergeCell ref="B192:B194"/>
    <mergeCell ref="B195:B197"/>
    <mergeCell ref="B183:B185"/>
    <mergeCell ref="B150:B152"/>
    <mergeCell ref="B153:B155"/>
    <mergeCell ref="B156:B158"/>
    <mergeCell ref="B159:B161"/>
    <mergeCell ref="B168:B170"/>
    <mergeCell ref="B174:B176"/>
    <mergeCell ref="B180:B182"/>
    <mergeCell ref="B216:B218"/>
    <mergeCell ref="B201:B203"/>
    <mergeCell ref="B204:B206"/>
    <mergeCell ref="B207:B209"/>
    <mergeCell ref="B213:B215"/>
    <mergeCell ref="B327:B329"/>
    <mergeCell ref="B330:B332"/>
    <mergeCell ref="B333:B335"/>
    <mergeCell ref="A327:A335"/>
    <mergeCell ref="B306:B308"/>
    <mergeCell ref="A303:A308"/>
    <mergeCell ref="B309:B311"/>
    <mergeCell ref="B312:B314"/>
    <mergeCell ref="A309:A314"/>
    <mergeCell ref="B303:B305"/>
    <mergeCell ref="AE2:AE4"/>
    <mergeCell ref="AE5:AE7"/>
    <mergeCell ref="AE8:AE10"/>
    <mergeCell ref="AE11:AE13"/>
    <mergeCell ref="AE14:AE16"/>
    <mergeCell ref="AE17:AE19"/>
    <mergeCell ref="AE20:AE22"/>
    <mergeCell ref="AE23:AE25"/>
    <mergeCell ref="AE26:AE28"/>
    <mergeCell ref="AE29:AE31"/>
    <mergeCell ref="AE32:AE34"/>
    <mergeCell ref="AE35:AE37"/>
    <mergeCell ref="AE38:AE40"/>
    <mergeCell ref="AE41:AE43"/>
    <mergeCell ref="AE44:AE46"/>
    <mergeCell ref="AE47:AE49"/>
    <mergeCell ref="AE50:AE52"/>
    <mergeCell ref="AE53:AE55"/>
    <mergeCell ref="AE56:AE58"/>
    <mergeCell ref="AE59:AE61"/>
    <mergeCell ref="AE62:AE64"/>
    <mergeCell ref="AE65:AE67"/>
    <mergeCell ref="AE68:AE70"/>
    <mergeCell ref="AE71:AE73"/>
    <mergeCell ref="AE80:AE82"/>
    <mergeCell ref="AE98:AE100"/>
    <mergeCell ref="AE83:AE85"/>
    <mergeCell ref="AE86:AE88"/>
    <mergeCell ref="AE89:AE91"/>
    <mergeCell ref="AE92:AE94"/>
    <mergeCell ref="AE95:AE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C564-9AEB-5C40-8C8F-1BFA5E40D909}">
  <dimension ref="A1:AB61"/>
  <sheetViews>
    <sheetView topLeftCell="M1" workbookViewId="0">
      <selection activeCell="Q2" sqref="Q2:Q61"/>
    </sheetView>
  </sheetViews>
  <sheetFormatPr baseColWidth="10" defaultRowHeight="16" x14ac:dyDescent="0.2"/>
  <sheetData>
    <row r="1" spans="1:28" x14ac:dyDescent="0.2">
      <c r="B1" t="s">
        <v>50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Q1" t="s">
        <v>50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</row>
    <row r="2" spans="1:28" x14ac:dyDescent="0.2">
      <c r="A2" s="11" t="s">
        <v>12</v>
      </c>
      <c r="B2" t="s">
        <v>1</v>
      </c>
      <c r="C2">
        <v>40.058</v>
      </c>
      <c r="D2">
        <v>902.68799999999999</v>
      </c>
      <c r="E2">
        <v>377</v>
      </c>
      <c r="F2">
        <v>1592</v>
      </c>
      <c r="G2">
        <v>36160.137999999999</v>
      </c>
      <c r="H2">
        <v>1369378</v>
      </c>
      <c r="L2">
        <f t="shared" ref="L2" si="0">H2/C2</f>
        <v>34184.881921214241</v>
      </c>
      <c r="P2" s="10" t="s">
        <v>10</v>
      </c>
      <c r="Q2" t="s">
        <v>1</v>
      </c>
      <c r="R2">
        <v>48.508000000000003</v>
      </c>
      <c r="S2">
        <v>563.01900000000001</v>
      </c>
      <c r="T2">
        <v>278</v>
      </c>
      <c r="U2">
        <v>1295</v>
      </c>
      <c r="V2">
        <v>27311.06</v>
      </c>
      <c r="W2">
        <v>1034265</v>
      </c>
      <c r="AA2">
        <f t="shared" ref="AA2" si="1">W2/R2</f>
        <v>21321.534592232209</v>
      </c>
    </row>
    <row r="3" spans="1:28" x14ac:dyDescent="0.2">
      <c r="A3" s="11"/>
      <c r="B3" t="s">
        <v>3</v>
      </c>
      <c r="C3">
        <v>40.058</v>
      </c>
      <c r="D3">
        <v>1593.8579999999999</v>
      </c>
      <c r="E3">
        <v>236</v>
      </c>
      <c r="F3">
        <v>3642</v>
      </c>
      <c r="G3">
        <v>63847.222999999998</v>
      </c>
      <c r="H3">
        <v>2417883</v>
      </c>
      <c r="M3" s="4">
        <f t="shared" ref="M3" si="2">L2/K4</f>
        <v>1.3423540898896245</v>
      </c>
      <c r="P3" s="10"/>
      <c r="Q3" t="s">
        <v>3</v>
      </c>
      <c r="R3">
        <v>48.508000000000003</v>
      </c>
      <c r="S3">
        <v>257.04399999999998</v>
      </c>
      <c r="T3">
        <v>154</v>
      </c>
      <c r="U3">
        <v>422</v>
      </c>
      <c r="V3">
        <v>12468.767</v>
      </c>
      <c r="W3">
        <v>472190</v>
      </c>
      <c r="AB3" s="5">
        <f t="shared" ref="AB3" si="3">AA2/Z4</f>
        <v>1.2311111851362575</v>
      </c>
    </row>
    <row r="4" spans="1:28" x14ac:dyDescent="0.2">
      <c r="A4" s="11"/>
      <c r="B4" t="s">
        <v>2</v>
      </c>
      <c r="C4">
        <v>59.414000000000001</v>
      </c>
      <c r="D4">
        <v>827.69100000000003</v>
      </c>
      <c r="E4">
        <v>333</v>
      </c>
      <c r="F4">
        <v>1592</v>
      </c>
      <c r="G4">
        <v>49176.491000000002</v>
      </c>
      <c r="H4">
        <v>1862305</v>
      </c>
      <c r="I4">
        <f t="shared" ref="I4" si="4">C4-C3</f>
        <v>19.356000000000002</v>
      </c>
      <c r="J4">
        <f t="shared" ref="J4" si="5">H4-H2</f>
        <v>492927</v>
      </c>
      <c r="K4">
        <f t="shared" ref="K4" si="6">J4/I4</f>
        <v>25466.367017978919</v>
      </c>
      <c r="P4" s="10"/>
      <c r="Q4" t="s">
        <v>2</v>
      </c>
      <c r="R4">
        <v>82.123000000000005</v>
      </c>
      <c r="S4">
        <v>519.75599999999997</v>
      </c>
      <c r="T4">
        <v>241</v>
      </c>
      <c r="U4">
        <v>1295</v>
      </c>
      <c r="V4">
        <v>42684.144999999997</v>
      </c>
      <c r="W4">
        <v>1616441</v>
      </c>
      <c r="X4">
        <f t="shared" ref="X4" si="7">R4-R3</f>
        <v>33.615000000000002</v>
      </c>
      <c r="Y4">
        <f t="shared" ref="Y4" si="8">W4-W2</f>
        <v>582176</v>
      </c>
      <c r="Z4">
        <f t="shared" ref="Z4" si="9">Y4/X4</f>
        <v>17318.934999256282</v>
      </c>
    </row>
    <row r="5" spans="1:28" x14ac:dyDescent="0.2">
      <c r="A5" s="11" t="s">
        <v>12</v>
      </c>
      <c r="B5" t="s">
        <v>1</v>
      </c>
      <c r="C5">
        <v>31.158999999999999</v>
      </c>
      <c r="D5">
        <v>524.89</v>
      </c>
      <c r="E5">
        <v>283</v>
      </c>
      <c r="F5">
        <v>1226</v>
      </c>
      <c r="G5">
        <v>16355.239</v>
      </c>
      <c r="H5">
        <v>619370</v>
      </c>
      <c r="L5">
        <f t="shared" ref="L5" si="10">H5/C5</f>
        <v>19877.723932090248</v>
      </c>
      <c r="P5" s="10" t="s">
        <v>10</v>
      </c>
      <c r="Q5" t="s">
        <v>1</v>
      </c>
      <c r="R5">
        <v>39.661999999999999</v>
      </c>
      <c r="S5">
        <v>657.61800000000005</v>
      </c>
      <c r="T5">
        <v>277</v>
      </c>
      <c r="U5">
        <v>1384</v>
      </c>
      <c r="V5">
        <v>26082.562000000002</v>
      </c>
      <c r="W5">
        <v>987742</v>
      </c>
      <c r="AA5">
        <f t="shared" ref="AA5" si="11">W5/R5</f>
        <v>24903.988704553478</v>
      </c>
    </row>
    <row r="6" spans="1:28" x14ac:dyDescent="0.2">
      <c r="A6" s="11"/>
      <c r="B6" t="s">
        <v>3</v>
      </c>
      <c r="C6">
        <v>31.158999999999999</v>
      </c>
      <c r="D6">
        <v>509.35700000000003</v>
      </c>
      <c r="E6">
        <v>174</v>
      </c>
      <c r="F6">
        <v>1239</v>
      </c>
      <c r="G6">
        <v>15871.239</v>
      </c>
      <c r="H6">
        <v>601041</v>
      </c>
      <c r="M6" s="4">
        <f t="shared" ref="M6" si="12">L5/K7</f>
        <v>1.2896914015246561</v>
      </c>
      <c r="P6" s="10"/>
      <c r="Q6" t="s">
        <v>3</v>
      </c>
      <c r="R6">
        <v>39.661999999999999</v>
      </c>
      <c r="S6">
        <v>290.06799999999998</v>
      </c>
      <c r="T6">
        <v>185</v>
      </c>
      <c r="U6">
        <v>487</v>
      </c>
      <c r="V6">
        <v>11504.727999999999</v>
      </c>
      <c r="W6">
        <v>435682</v>
      </c>
      <c r="AB6" s="5">
        <f t="shared" ref="AB6" si="13">AA5/Z7</f>
        <v>1.3499047710980716</v>
      </c>
    </row>
    <row r="7" spans="1:28" x14ac:dyDescent="0.2">
      <c r="A7" s="11"/>
      <c r="B7" t="s">
        <v>2</v>
      </c>
      <c r="C7">
        <v>46</v>
      </c>
      <c r="D7">
        <v>486.86099999999999</v>
      </c>
      <c r="E7">
        <v>216</v>
      </c>
      <c r="F7">
        <v>1226</v>
      </c>
      <c r="G7">
        <v>22395.431</v>
      </c>
      <c r="H7">
        <v>848111</v>
      </c>
      <c r="I7">
        <f t="shared" ref="I7" si="14">C7-C6</f>
        <v>14.841000000000001</v>
      </c>
      <c r="J7">
        <f t="shared" ref="J7" si="15">H7-H5</f>
        <v>228741</v>
      </c>
      <c r="K7">
        <f t="shared" ref="K7" si="16">J7/I7</f>
        <v>15412.775419446129</v>
      </c>
      <c r="P7" s="10"/>
      <c r="Q7" t="s">
        <v>2</v>
      </c>
      <c r="R7">
        <v>55.744</v>
      </c>
      <c r="S7">
        <v>608.44799999999998</v>
      </c>
      <c r="T7">
        <v>259</v>
      </c>
      <c r="U7">
        <v>1384</v>
      </c>
      <c r="V7">
        <v>33917.084999999999</v>
      </c>
      <c r="W7">
        <v>1284434</v>
      </c>
      <c r="X7">
        <f t="shared" ref="X7" si="17">R7-R6</f>
        <v>16.082000000000001</v>
      </c>
      <c r="Y7">
        <f t="shared" ref="Y7" si="18">W7-W5</f>
        <v>296692</v>
      </c>
      <c r="Z7">
        <f t="shared" ref="Z7" si="19">Y7/X7</f>
        <v>18448.700410396716</v>
      </c>
    </row>
    <row r="8" spans="1:28" x14ac:dyDescent="0.2">
      <c r="A8" s="11" t="s">
        <v>12</v>
      </c>
      <c r="B8" t="s">
        <v>1</v>
      </c>
      <c r="C8">
        <v>44.23</v>
      </c>
      <c r="D8">
        <v>543.5</v>
      </c>
      <c r="E8">
        <v>345</v>
      </c>
      <c r="F8">
        <v>945</v>
      </c>
      <c r="G8">
        <v>24039.273000000001</v>
      </c>
      <c r="H8">
        <v>910363</v>
      </c>
      <c r="L8">
        <f t="shared" ref="L8" si="20">H8/C8</f>
        <v>20582.477956138369</v>
      </c>
      <c r="P8" s="10" t="s">
        <v>10</v>
      </c>
      <c r="Q8" t="s">
        <v>1</v>
      </c>
      <c r="R8">
        <v>37.840000000000003</v>
      </c>
      <c r="S8">
        <v>759.202</v>
      </c>
      <c r="T8">
        <v>308</v>
      </c>
      <c r="U8">
        <v>1472</v>
      </c>
      <c r="V8">
        <v>28728.31</v>
      </c>
      <c r="W8">
        <v>1087936</v>
      </c>
      <c r="AA8">
        <f t="shared" ref="AA8" si="21">W8/R8</f>
        <v>28750.951374207187</v>
      </c>
    </row>
    <row r="9" spans="1:28" x14ac:dyDescent="0.2">
      <c r="A9" s="11"/>
      <c r="B9" t="s">
        <v>3</v>
      </c>
      <c r="C9">
        <v>44.23</v>
      </c>
      <c r="D9">
        <v>514.49900000000002</v>
      </c>
      <c r="E9">
        <v>183</v>
      </c>
      <c r="F9">
        <v>1310</v>
      </c>
      <c r="G9">
        <v>22756.51</v>
      </c>
      <c r="H9">
        <v>861785</v>
      </c>
      <c r="M9" s="4">
        <f t="shared" ref="M9" si="22">L8/K10</f>
        <v>0.96708393888388466</v>
      </c>
      <c r="P9" s="10"/>
      <c r="Q9" t="s">
        <v>3</v>
      </c>
      <c r="R9">
        <v>37.840000000000003</v>
      </c>
      <c r="S9">
        <v>420.74</v>
      </c>
      <c r="T9">
        <v>282</v>
      </c>
      <c r="U9">
        <v>717</v>
      </c>
      <c r="V9">
        <v>15920.883</v>
      </c>
      <c r="W9">
        <v>602921</v>
      </c>
      <c r="AB9" s="5">
        <f t="shared" ref="AB9" si="23">AA8/Z10</f>
        <v>0.99628112635356703</v>
      </c>
    </row>
    <row r="10" spans="1:28" x14ac:dyDescent="0.2">
      <c r="A10" s="11"/>
      <c r="B10" t="s">
        <v>2</v>
      </c>
      <c r="C10">
        <v>63.613</v>
      </c>
      <c r="D10">
        <v>549.14599999999996</v>
      </c>
      <c r="E10">
        <v>268</v>
      </c>
      <c r="F10">
        <v>945</v>
      </c>
      <c r="G10">
        <v>34932.616999999998</v>
      </c>
      <c r="H10">
        <v>1322892</v>
      </c>
      <c r="I10">
        <f t="shared" ref="I10" si="24">C10-C9</f>
        <v>19.383000000000003</v>
      </c>
      <c r="J10">
        <f t="shared" ref="J10" si="25">H10-H8</f>
        <v>412529</v>
      </c>
      <c r="K10">
        <f t="shared" ref="K10" si="26">J10/I10</f>
        <v>21283.03152246814</v>
      </c>
      <c r="P10" s="10"/>
      <c r="Q10" t="s">
        <v>2</v>
      </c>
      <c r="R10">
        <v>51.887999999999998</v>
      </c>
      <c r="S10">
        <v>759.96799999999996</v>
      </c>
      <c r="T10">
        <v>308</v>
      </c>
      <c r="U10">
        <v>1472</v>
      </c>
      <c r="V10">
        <v>39433.43</v>
      </c>
      <c r="W10">
        <v>1493337</v>
      </c>
      <c r="X10">
        <f t="shared" ref="X10" si="27">R10-R9</f>
        <v>14.047999999999995</v>
      </c>
      <c r="Y10">
        <f t="shared" ref="Y10" si="28">W10-W8</f>
        <v>405401</v>
      </c>
      <c r="Z10">
        <f t="shared" ref="Z10" si="29">Y10/X10</f>
        <v>28858.271640091127</v>
      </c>
    </row>
    <row r="11" spans="1:28" x14ac:dyDescent="0.2">
      <c r="A11" s="11" t="s">
        <v>12</v>
      </c>
      <c r="B11" t="s">
        <v>1</v>
      </c>
      <c r="C11">
        <v>47.293999999999997</v>
      </c>
      <c r="D11">
        <v>570.52700000000004</v>
      </c>
      <c r="E11">
        <v>334</v>
      </c>
      <c r="F11">
        <v>890</v>
      </c>
      <c r="G11">
        <v>26982.276000000002</v>
      </c>
      <c r="H11">
        <v>1021814</v>
      </c>
      <c r="L11">
        <f t="shared" ref="L11" si="30">H11/C11</f>
        <v>21605.573645705586</v>
      </c>
      <c r="P11" s="10" t="s">
        <v>10</v>
      </c>
      <c r="Q11" t="s">
        <v>1</v>
      </c>
      <c r="R11">
        <v>37.100999999999999</v>
      </c>
      <c r="S11">
        <v>712.99099999999999</v>
      </c>
      <c r="T11">
        <v>340</v>
      </c>
      <c r="U11">
        <v>1470</v>
      </c>
      <c r="V11">
        <v>26452.513999999999</v>
      </c>
      <c r="W11">
        <v>1001752</v>
      </c>
      <c r="AA11">
        <f t="shared" ref="AA11" si="31">W11/R11</f>
        <v>27000.673836284735</v>
      </c>
    </row>
    <row r="12" spans="1:28" x14ac:dyDescent="0.2">
      <c r="A12" s="11"/>
      <c r="B12" t="s">
        <v>3</v>
      </c>
      <c r="C12">
        <v>47.293999999999997</v>
      </c>
      <c r="D12">
        <v>510.20699999999999</v>
      </c>
      <c r="E12">
        <v>168</v>
      </c>
      <c r="F12">
        <v>1720</v>
      </c>
      <c r="G12">
        <v>24129.503000000001</v>
      </c>
      <c r="H12">
        <v>913780</v>
      </c>
      <c r="M12" s="4">
        <f t="shared" ref="M12" si="32">L11/K13</f>
        <v>0.94788029267307694</v>
      </c>
      <c r="P12" s="10"/>
      <c r="Q12" t="s">
        <v>3</v>
      </c>
      <c r="R12">
        <v>37.100999999999999</v>
      </c>
      <c r="S12">
        <v>266.11399999999998</v>
      </c>
      <c r="T12">
        <v>171</v>
      </c>
      <c r="U12">
        <v>394</v>
      </c>
      <c r="V12">
        <v>9873.0329999999994</v>
      </c>
      <c r="W12">
        <v>373890</v>
      </c>
      <c r="AB12" s="5">
        <f t="shared" ref="AB12" si="33">AA11/Z13</f>
        <v>1.1970726434125962</v>
      </c>
    </row>
    <row r="13" spans="1:28" x14ac:dyDescent="0.2">
      <c r="A13" s="11"/>
      <c r="B13" t="s">
        <v>2</v>
      </c>
      <c r="C13">
        <v>68.313000000000002</v>
      </c>
      <c r="D13">
        <v>580.17499999999995</v>
      </c>
      <c r="E13">
        <v>242</v>
      </c>
      <c r="F13">
        <v>1034</v>
      </c>
      <c r="G13">
        <v>39633.457000000002</v>
      </c>
      <c r="H13">
        <v>1500912</v>
      </c>
      <c r="I13">
        <f t="shared" ref="I13" si="34">C13-C12</f>
        <v>21.019000000000005</v>
      </c>
      <c r="J13">
        <f t="shared" ref="J13" si="35">H13-H11</f>
        <v>479098</v>
      </c>
      <c r="K13">
        <f t="shared" ref="K13" si="36">J13/I13</f>
        <v>22793.567724439788</v>
      </c>
      <c r="P13" s="10"/>
      <c r="Q13" t="s">
        <v>2</v>
      </c>
      <c r="R13">
        <v>55.927999999999997</v>
      </c>
      <c r="S13">
        <v>673.46799999999996</v>
      </c>
      <c r="T13">
        <v>206</v>
      </c>
      <c r="U13">
        <v>1470</v>
      </c>
      <c r="V13">
        <v>37666.033000000003</v>
      </c>
      <c r="W13">
        <v>1426406</v>
      </c>
      <c r="X13">
        <f t="shared" ref="X13" si="37">R13-R12</f>
        <v>18.826999999999998</v>
      </c>
      <c r="Y13">
        <f t="shared" ref="Y13" si="38">W13-W11</f>
        <v>424654</v>
      </c>
      <c r="Z13">
        <f t="shared" ref="Z13" si="39">Y13/X13</f>
        <v>22555.585064003826</v>
      </c>
    </row>
    <row r="14" spans="1:28" x14ac:dyDescent="0.2">
      <c r="A14" s="11" t="s">
        <v>12</v>
      </c>
      <c r="B14" t="s">
        <v>1</v>
      </c>
      <c r="C14">
        <v>37.866999999999997</v>
      </c>
      <c r="D14">
        <v>943.15800000000002</v>
      </c>
      <c r="E14">
        <v>318</v>
      </c>
      <c r="F14">
        <v>1962</v>
      </c>
      <c r="G14">
        <v>35714.163</v>
      </c>
      <c r="H14">
        <v>1352489</v>
      </c>
      <c r="L14">
        <f t="shared" ref="L14" si="40">H14/C14</f>
        <v>35716.824675839125</v>
      </c>
      <c r="P14" s="10" t="s">
        <v>10</v>
      </c>
      <c r="Q14" t="s">
        <v>1</v>
      </c>
      <c r="R14">
        <v>46.104999999999997</v>
      </c>
      <c r="S14">
        <v>828.50699999999995</v>
      </c>
      <c r="T14">
        <v>336</v>
      </c>
      <c r="U14">
        <v>1830</v>
      </c>
      <c r="V14">
        <v>38198.595000000001</v>
      </c>
      <c r="W14">
        <v>1446574</v>
      </c>
      <c r="AA14">
        <f t="shared" ref="AA14" si="41">W14/R14</f>
        <v>31375.642555037415</v>
      </c>
    </row>
    <row r="15" spans="1:28" x14ac:dyDescent="0.2">
      <c r="A15" s="11"/>
      <c r="B15" t="s">
        <v>3</v>
      </c>
      <c r="C15">
        <v>37.866999999999997</v>
      </c>
      <c r="D15">
        <v>813.44100000000003</v>
      </c>
      <c r="E15">
        <v>284</v>
      </c>
      <c r="F15">
        <v>1994</v>
      </c>
      <c r="G15">
        <v>30802.204000000002</v>
      </c>
      <c r="H15">
        <v>1166474</v>
      </c>
      <c r="M15" s="4">
        <f t="shared" ref="M15" si="42">L14/K16</f>
        <v>1.3842711713146589</v>
      </c>
      <c r="P15" s="10"/>
      <c r="Q15" t="s">
        <v>3</v>
      </c>
      <c r="R15">
        <v>46.104999999999997</v>
      </c>
      <c r="S15">
        <v>313.30500000000001</v>
      </c>
      <c r="T15">
        <v>193</v>
      </c>
      <c r="U15">
        <v>521</v>
      </c>
      <c r="V15">
        <v>14445.011</v>
      </c>
      <c r="W15">
        <v>547030</v>
      </c>
      <c r="AB15" s="5">
        <f t="shared" ref="AB15" si="43">AA14/Z16</f>
        <v>1.3813599012245081</v>
      </c>
    </row>
    <row r="16" spans="1:28" x14ac:dyDescent="0.2">
      <c r="A16" s="11"/>
      <c r="B16" t="s">
        <v>2</v>
      </c>
      <c r="C16">
        <v>56.720999999999997</v>
      </c>
      <c r="D16">
        <v>856.12599999999998</v>
      </c>
      <c r="E16">
        <v>270</v>
      </c>
      <c r="F16">
        <v>1962</v>
      </c>
      <c r="G16">
        <v>48559.985000000001</v>
      </c>
      <c r="H16">
        <v>1838958</v>
      </c>
      <c r="I16">
        <f t="shared" ref="I16" si="44">C16-C15</f>
        <v>18.853999999999999</v>
      </c>
      <c r="J16">
        <f t="shared" ref="J16" si="45">H16-H14</f>
        <v>486469</v>
      </c>
      <c r="K16">
        <f t="shared" ref="K16" si="46">J16/I16</f>
        <v>25801.898801315372</v>
      </c>
      <c r="P16" s="10"/>
      <c r="Q16" t="s">
        <v>2</v>
      </c>
      <c r="R16">
        <v>70.953999999999994</v>
      </c>
      <c r="S16">
        <v>748.41200000000003</v>
      </c>
      <c r="T16">
        <v>212</v>
      </c>
      <c r="U16">
        <v>1830</v>
      </c>
      <c r="V16">
        <v>53102.546000000002</v>
      </c>
      <c r="W16">
        <v>2010984</v>
      </c>
      <c r="X16">
        <f t="shared" ref="X16" si="47">R16-R15</f>
        <v>24.848999999999997</v>
      </c>
      <c r="Y16">
        <f t="shared" ref="Y16" si="48">W16-W14</f>
        <v>564410</v>
      </c>
      <c r="Z16">
        <f t="shared" ref="Z16" si="49">Y16/X16</f>
        <v>22713.590084108015</v>
      </c>
    </row>
    <row r="17" spans="1:28" x14ac:dyDescent="0.2">
      <c r="A17" s="11" t="s">
        <v>12</v>
      </c>
      <c r="B17" t="s">
        <v>1</v>
      </c>
      <c r="C17">
        <v>44.442</v>
      </c>
      <c r="D17">
        <v>781.67100000000005</v>
      </c>
      <c r="E17">
        <v>365</v>
      </c>
      <c r="F17">
        <v>1351</v>
      </c>
      <c r="G17">
        <v>34738.794999999998</v>
      </c>
      <c r="H17">
        <v>1315552</v>
      </c>
      <c r="L17">
        <f t="shared" ref="L17" si="50">H17/C17</f>
        <v>29601.548085144685</v>
      </c>
      <c r="P17" s="10" t="s">
        <v>10</v>
      </c>
      <c r="Q17" t="s">
        <v>1</v>
      </c>
      <c r="R17">
        <v>24.504999999999999</v>
      </c>
      <c r="S17">
        <v>819.01700000000005</v>
      </c>
      <c r="T17">
        <v>299</v>
      </c>
      <c r="U17">
        <v>1532</v>
      </c>
      <c r="V17">
        <v>20070.018</v>
      </c>
      <c r="W17">
        <v>760048</v>
      </c>
      <c r="AA17">
        <f t="shared" ref="AA17" si="51">W17/R17</f>
        <v>31016.0375433585</v>
      </c>
    </row>
    <row r="18" spans="1:28" x14ac:dyDescent="0.2">
      <c r="A18" s="11"/>
      <c r="B18" t="s">
        <v>3</v>
      </c>
      <c r="C18">
        <v>44.442</v>
      </c>
      <c r="D18">
        <v>1060.2950000000001</v>
      </c>
      <c r="E18">
        <v>261</v>
      </c>
      <c r="F18">
        <v>2249</v>
      </c>
      <c r="G18">
        <v>47121.319000000003</v>
      </c>
      <c r="H18">
        <v>1784476</v>
      </c>
      <c r="M18" s="4">
        <f t="shared" ref="M18" si="52">L17/K19</f>
        <v>1.5582998716571335</v>
      </c>
      <c r="P18" s="10"/>
      <c r="Q18" t="s">
        <v>3</v>
      </c>
      <c r="R18">
        <v>24.504999999999999</v>
      </c>
      <c r="S18">
        <v>306.44600000000003</v>
      </c>
      <c r="T18">
        <v>185</v>
      </c>
      <c r="U18">
        <v>552</v>
      </c>
      <c r="V18">
        <v>7509.4620000000004</v>
      </c>
      <c r="W18">
        <v>284382</v>
      </c>
      <c r="AB18" s="5">
        <f t="shared" ref="AB18" si="53">AA17/Z19</f>
        <v>1.5559717726612259</v>
      </c>
    </row>
    <row r="19" spans="1:28" x14ac:dyDescent="0.2">
      <c r="A19" s="11"/>
      <c r="B19" t="s">
        <v>2</v>
      </c>
      <c r="C19">
        <v>72.063000000000002</v>
      </c>
      <c r="D19">
        <v>674.32799999999997</v>
      </c>
      <c r="E19">
        <v>248</v>
      </c>
      <c r="F19">
        <v>1351</v>
      </c>
      <c r="G19">
        <v>48593.89</v>
      </c>
      <c r="H19">
        <v>1840242</v>
      </c>
      <c r="I19">
        <f t="shared" ref="I19" si="54">C19-C18</f>
        <v>27.621000000000002</v>
      </c>
      <c r="J19">
        <f t="shared" ref="J19" si="55">H19-H17</f>
        <v>524690</v>
      </c>
      <c r="K19">
        <f t="shared" ref="K19" si="56">J19/I19</f>
        <v>18996.053727236522</v>
      </c>
      <c r="P19" s="10"/>
      <c r="Q19" t="s">
        <v>2</v>
      </c>
      <c r="R19">
        <v>27.303999999999998</v>
      </c>
      <c r="S19">
        <v>789.01499999999999</v>
      </c>
      <c r="T19">
        <v>249</v>
      </c>
      <c r="U19">
        <v>1532</v>
      </c>
      <c r="V19">
        <v>21543.328000000001</v>
      </c>
      <c r="W19">
        <v>815842</v>
      </c>
      <c r="X19">
        <f t="shared" ref="X19" si="57">R19-R18</f>
        <v>2.7989999999999995</v>
      </c>
      <c r="Y19">
        <f t="shared" ref="Y19" si="58">W19-W17</f>
        <v>55794</v>
      </c>
      <c r="Z19">
        <f t="shared" ref="Z19" si="59">Y19/X19</f>
        <v>19933.547695605575</v>
      </c>
    </row>
    <row r="20" spans="1:28" x14ac:dyDescent="0.2">
      <c r="A20" s="11" t="s">
        <v>12</v>
      </c>
      <c r="B20" t="s">
        <v>1</v>
      </c>
      <c r="C20">
        <v>46.976999999999997</v>
      </c>
      <c r="D20">
        <v>809.83100000000002</v>
      </c>
      <c r="E20">
        <v>455</v>
      </c>
      <c r="F20">
        <v>1228</v>
      </c>
      <c r="G20">
        <v>38043.22</v>
      </c>
      <c r="H20">
        <v>1440690</v>
      </c>
      <c r="L20">
        <f t="shared" ref="L20" si="60">H20/C20</f>
        <v>30667.986461459866</v>
      </c>
      <c r="P20" s="10" t="s">
        <v>10</v>
      </c>
      <c r="Q20" t="s">
        <v>1</v>
      </c>
      <c r="R20">
        <v>24.768999999999998</v>
      </c>
      <c r="S20">
        <v>452.101</v>
      </c>
      <c r="T20">
        <v>211</v>
      </c>
      <c r="U20">
        <v>916</v>
      </c>
      <c r="V20">
        <v>11198.125</v>
      </c>
      <c r="W20">
        <v>424071</v>
      </c>
      <c r="AA20">
        <f t="shared" ref="AA20" si="61">W20/R20</f>
        <v>17121.038394767653</v>
      </c>
    </row>
    <row r="21" spans="1:28" x14ac:dyDescent="0.2">
      <c r="A21" s="11"/>
      <c r="B21" t="s">
        <v>3</v>
      </c>
      <c r="C21">
        <v>46.976999999999997</v>
      </c>
      <c r="D21">
        <v>758.04</v>
      </c>
      <c r="E21">
        <v>261</v>
      </c>
      <c r="F21">
        <v>1673</v>
      </c>
      <c r="G21">
        <v>35610.228000000003</v>
      </c>
      <c r="H21">
        <v>1348553</v>
      </c>
      <c r="M21" s="4">
        <f t="shared" ref="M21" si="62">L20/K22</f>
        <v>0.8547806377186089</v>
      </c>
      <c r="P21" s="10"/>
      <c r="Q21" t="s">
        <v>3</v>
      </c>
      <c r="R21">
        <v>24.768999999999998</v>
      </c>
      <c r="S21">
        <v>209.42</v>
      </c>
      <c r="T21">
        <v>132</v>
      </c>
      <c r="U21">
        <v>385</v>
      </c>
      <c r="V21">
        <v>5187.1379999999999</v>
      </c>
      <c r="W21">
        <v>196436</v>
      </c>
      <c r="AB21" s="5">
        <f t="shared" ref="AB21" si="63">AA20/Z22</f>
        <v>1.2129848083991537</v>
      </c>
    </row>
    <row r="22" spans="1:28" x14ac:dyDescent="0.2">
      <c r="A22" s="11"/>
      <c r="B22" t="s">
        <v>2</v>
      </c>
      <c r="C22">
        <v>75.653999999999996</v>
      </c>
      <c r="D22">
        <v>861.97900000000004</v>
      </c>
      <c r="E22">
        <v>455</v>
      </c>
      <c r="F22">
        <v>1503</v>
      </c>
      <c r="G22">
        <v>65212.055999999997</v>
      </c>
      <c r="H22">
        <v>2469569</v>
      </c>
      <c r="I22">
        <f t="shared" ref="I22" si="64">C22-C21</f>
        <v>28.677</v>
      </c>
      <c r="J22">
        <f t="shared" ref="J22" si="65">H22-H20</f>
        <v>1028879</v>
      </c>
      <c r="K22">
        <f t="shared" ref="K22" si="66">J22/I22</f>
        <v>35878.195069219233</v>
      </c>
      <c r="P22" s="10"/>
      <c r="Q22" t="s">
        <v>2</v>
      </c>
      <c r="R22">
        <v>43.201000000000001</v>
      </c>
      <c r="S22">
        <v>418.23700000000002</v>
      </c>
      <c r="T22">
        <v>202</v>
      </c>
      <c r="U22">
        <v>916</v>
      </c>
      <c r="V22">
        <v>18068.080000000002</v>
      </c>
      <c r="W22">
        <v>684235</v>
      </c>
      <c r="X22">
        <f t="shared" ref="X22" si="67">R22-R21</f>
        <v>18.432000000000002</v>
      </c>
      <c r="Y22">
        <f t="shared" ref="Y22" si="68">W22-W20</f>
        <v>260164</v>
      </c>
      <c r="Z22">
        <f t="shared" ref="Z22" si="69">Y22/X22</f>
        <v>14114.800347222221</v>
      </c>
    </row>
    <row r="23" spans="1:28" x14ac:dyDescent="0.2">
      <c r="A23" s="11" t="s">
        <v>12</v>
      </c>
      <c r="B23" t="s">
        <v>1</v>
      </c>
      <c r="C23">
        <v>37.761000000000003</v>
      </c>
      <c r="D23">
        <v>783.55499999999995</v>
      </c>
      <c r="E23">
        <v>391</v>
      </c>
      <c r="F23">
        <v>1476</v>
      </c>
      <c r="G23">
        <v>29587.780999999999</v>
      </c>
      <c r="H23">
        <v>1120484</v>
      </c>
      <c r="L23">
        <f t="shared" ref="L23" si="70">H23/C23</f>
        <v>29673.04891289955</v>
      </c>
      <c r="P23" s="10" t="s">
        <v>10</v>
      </c>
      <c r="Q23" t="s">
        <v>1</v>
      </c>
      <c r="R23">
        <v>20.597000000000001</v>
      </c>
      <c r="S23">
        <v>524.88199999999995</v>
      </c>
      <c r="T23">
        <v>312</v>
      </c>
      <c r="U23">
        <v>880</v>
      </c>
      <c r="V23">
        <v>10810.93</v>
      </c>
      <c r="W23">
        <v>409408</v>
      </c>
      <c r="AA23">
        <f t="shared" ref="AA23" si="71">W23/R23</f>
        <v>19877.069476137302</v>
      </c>
    </row>
    <row r="24" spans="1:28" x14ac:dyDescent="0.2">
      <c r="A24" s="11"/>
      <c r="B24" t="s">
        <v>3</v>
      </c>
      <c r="C24">
        <v>37.761000000000003</v>
      </c>
      <c r="D24">
        <v>796.91499999999996</v>
      </c>
      <c r="E24">
        <v>269</v>
      </c>
      <c r="F24">
        <v>2483</v>
      </c>
      <c r="G24">
        <v>30092.272000000001</v>
      </c>
      <c r="H24">
        <v>1139589</v>
      </c>
      <c r="M24" s="4">
        <f t="shared" ref="M24" si="72">L23/K25</f>
        <v>1.1512977992224755</v>
      </c>
      <c r="P24" s="10"/>
      <c r="Q24" t="s">
        <v>3</v>
      </c>
      <c r="R24">
        <v>20.597000000000001</v>
      </c>
      <c r="S24">
        <v>293.464</v>
      </c>
      <c r="T24">
        <v>176</v>
      </c>
      <c r="U24">
        <v>478</v>
      </c>
      <c r="V24">
        <v>6044.4430000000002</v>
      </c>
      <c r="W24">
        <v>228902</v>
      </c>
      <c r="AB24" s="5">
        <f t="shared" ref="AB24" si="73">AA23/Z25</f>
        <v>1.2404438247302179</v>
      </c>
    </row>
    <row r="25" spans="1:28" x14ac:dyDescent="0.2">
      <c r="A25" s="11"/>
      <c r="B25" t="s">
        <v>2</v>
      </c>
      <c r="C25">
        <v>60.761000000000003</v>
      </c>
      <c r="D25">
        <v>744.57899999999995</v>
      </c>
      <c r="E25">
        <v>317</v>
      </c>
      <c r="F25">
        <v>1476</v>
      </c>
      <c r="G25">
        <v>45241.194000000003</v>
      </c>
      <c r="H25">
        <v>1713276</v>
      </c>
      <c r="I25">
        <f t="shared" ref="I25" si="74">C25-C24</f>
        <v>23</v>
      </c>
      <c r="J25">
        <f t="shared" ref="J25" si="75">H25-H23</f>
        <v>592792</v>
      </c>
      <c r="K25">
        <f t="shared" ref="K25" si="76">J25/I25</f>
        <v>25773.565217391304</v>
      </c>
      <c r="P25" s="10"/>
      <c r="Q25" t="s">
        <v>2</v>
      </c>
      <c r="R25">
        <v>29.786000000000001</v>
      </c>
      <c r="S25">
        <v>493.488</v>
      </c>
      <c r="T25">
        <v>256</v>
      </c>
      <c r="U25">
        <v>880</v>
      </c>
      <c r="V25">
        <v>14699.145</v>
      </c>
      <c r="W25">
        <v>556654</v>
      </c>
      <c r="X25">
        <f t="shared" ref="X25" si="77">R25-R24</f>
        <v>9.1890000000000001</v>
      </c>
      <c r="Y25">
        <f t="shared" ref="Y25" si="78">W25-W23</f>
        <v>147246</v>
      </c>
      <c r="Z25">
        <f t="shared" ref="Z25" si="79">Y25/X25</f>
        <v>16024.159320927196</v>
      </c>
    </row>
    <row r="26" spans="1:28" x14ac:dyDescent="0.2">
      <c r="A26" s="11" t="s">
        <v>12</v>
      </c>
      <c r="B26" t="s">
        <v>1</v>
      </c>
      <c r="C26">
        <v>58.252000000000002</v>
      </c>
      <c r="D26">
        <v>446.80099999999999</v>
      </c>
      <c r="E26">
        <v>258</v>
      </c>
      <c r="F26">
        <v>1078</v>
      </c>
      <c r="G26">
        <v>26027.109</v>
      </c>
      <c r="H26">
        <v>985642</v>
      </c>
      <c r="L26">
        <f t="shared" ref="L26" si="80">H26/C26</f>
        <v>16920.311748952827</v>
      </c>
      <c r="P26" s="10" t="s">
        <v>10</v>
      </c>
      <c r="Q26" t="s">
        <v>1</v>
      </c>
      <c r="R26">
        <v>37.021999999999998</v>
      </c>
      <c r="S26">
        <v>670.46100000000001</v>
      </c>
      <c r="T26">
        <v>379</v>
      </c>
      <c r="U26">
        <v>1203</v>
      </c>
      <c r="V26">
        <v>24821.531999999999</v>
      </c>
      <c r="W26">
        <v>939987</v>
      </c>
      <c r="AA26">
        <f t="shared" ref="AA26" si="81">W26/R26</f>
        <v>25389.957322673006</v>
      </c>
    </row>
    <row r="27" spans="1:28" x14ac:dyDescent="0.2">
      <c r="A27" s="11"/>
      <c r="B27" t="s">
        <v>3</v>
      </c>
      <c r="C27">
        <v>58.252000000000002</v>
      </c>
      <c r="D27">
        <v>885.29</v>
      </c>
      <c r="E27">
        <v>297</v>
      </c>
      <c r="F27">
        <v>3459</v>
      </c>
      <c r="G27">
        <v>51570.06</v>
      </c>
      <c r="H27">
        <v>1952949</v>
      </c>
      <c r="M27" s="4">
        <f t="shared" ref="M27" si="82">L26/K28</f>
        <v>0.88596914582871755</v>
      </c>
      <c r="P27" s="10"/>
      <c r="Q27" t="s">
        <v>3</v>
      </c>
      <c r="R27">
        <v>37.021999999999998</v>
      </c>
      <c r="S27">
        <v>253.05</v>
      </c>
      <c r="T27">
        <v>168</v>
      </c>
      <c r="U27">
        <v>385</v>
      </c>
      <c r="V27">
        <v>9368.3040000000001</v>
      </c>
      <c r="W27">
        <v>354776</v>
      </c>
      <c r="AB27" s="5">
        <f t="shared" ref="AB27" si="83">AA26/Z28</f>
        <v>0.95150120506349922</v>
      </c>
    </row>
    <row r="28" spans="1:28" x14ac:dyDescent="0.2">
      <c r="A28" s="11"/>
      <c r="B28" t="s">
        <v>2</v>
      </c>
      <c r="C28">
        <v>76.869</v>
      </c>
      <c r="D28">
        <v>460.73200000000003</v>
      </c>
      <c r="E28">
        <v>258</v>
      </c>
      <c r="F28">
        <v>1078</v>
      </c>
      <c r="G28">
        <v>35415.824999999997</v>
      </c>
      <c r="H28">
        <v>1341191</v>
      </c>
      <c r="I28">
        <f t="shared" ref="I28" si="84">C28-C27</f>
        <v>18.616999999999997</v>
      </c>
      <c r="J28">
        <f t="shared" ref="J28" si="85">H28-H26</f>
        <v>355549</v>
      </c>
      <c r="K28">
        <f t="shared" ref="K28" si="86">J28/I28</f>
        <v>19098.082397808459</v>
      </c>
      <c r="P28" s="10"/>
      <c r="Q28" t="s">
        <v>2</v>
      </c>
      <c r="R28">
        <v>46.923999999999999</v>
      </c>
      <c r="S28">
        <v>677.66600000000005</v>
      </c>
      <c r="T28">
        <v>379</v>
      </c>
      <c r="U28">
        <v>1203</v>
      </c>
      <c r="V28">
        <v>31798.75</v>
      </c>
      <c r="W28">
        <v>1204213</v>
      </c>
      <c r="X28">
        <f t="shared" ref="X28" si="87">R28-R27</f>
        <v>9.902000000000001</v>
      </c>
      <c r="Y28">
        <f t="shared" ref="Y28" si="88">W28-W26</f>
        <v>264226</v>
      </c>
      <c r="Z28">
        <f t="shared" ref="Z28" si="89">Y28/X28</f>
        <v>26684.104221369416</v>
      </c>
    </row>
    <row r="29" spans="1:28" x14ac:dyDescent="0.2">
      <c r="A29" s="11" t="s">
        <v>12</v>
      </c>
      <c r="B29" t="s">
        <v>1</v>
      </c>
      <c r="C29">
        <v>32.954999999999998</v>
      </c>
      <c r="D29">
        <v>733.32299999999998</v>
      </c>
      <c r="E29">
        <v>257</v>
      </c>
      <c r="F29">
        <v>1652</v>
      </c>
      <c r="G29">
        <v>24166.656999999999</v>
      </c>
      <c r="H29">
        <v>915187</v>
      </c>
      <c r="L29">
        <f t="shared" ref="L29" si="90">H29/C29</f>
        <v>27770.808678500987</v>
      </c>
      <c r="P29" s="10" t="s">
        <v>10</v>
      </c>
      <c r="Q29" t="s">
        <v>1</v>
      </c>
      <c r="R29">
        <v>23.026</v>
      </c>
      <c r="S29">
        <v>742.06500000000005</v>
      </c>
      <c r="T29">
        <v>343</v>
      </c>
      <c r="U29">
        <v>1352</v>
      </c>
      <c r="V29">
        <v>17086.983</v>
      </c>
      <c r="W29">
        <v>647081</v>
      </c>
      <c r="AA29">
        <f t="shared" ref="AA29" si="91">W29/R29</f>
        <v>28102.18883001824</v>
      </c>
    </row>
    <row r="30" spans="1:28" x14ac:dyDescent="0.2">
      <c r="A30" s="11"/>
      <c r="B30" t="s">
        <v>3</v>
      </c>
      <c r="C30">
        <v>32.954999999999998</v>
      </c>
      <c r="D30">
        <v>550.46400000000006</v>
      </c>
      <c r="E30">
        <v>229</v>
      </c>
      <c r="F30">
        <v>1326</v>
      </c>
      <c r="G30">
        <v>18140.539000000001</v>
      </c>
      <c r="H30">
        <v>686979</v>
      </c>
      <c r="M30" s="4">
        <f t="shared" ref="M30" si="92">L29/K31</f>
        <v>1.5015057566100551</v>
      </c>
      <c r="P30" s="10"/>
      <c r="Q30" t="s">
        <v>3</v>
      </c>
      <c r="R30">
        <v>23.026</v>
      </c>
      <c r="S30">
        <v>249.124</v>
      </c>
      <c r="T30">
        <v>164</v>
      </c>
      <c r="U30">
        <v>363</v>
      </c>
      <c r="V30">
        <v>5736.3879999999999</v>
      </c>
      <c r="W30">
        <v>217236</v>
      </c>
      <c r="AB30" s="5">
        <f t="shared" ref="AB30" si="93">AA29/Z31</f>
        <v>1.2223374199949748</v>
      </c>
    </row>
    <row r="31" spans="1:28" x14ac:dyDescent="0.2">
      <c r="A31" s="11"/>
      <c r="B31" t="s">
        <v>2</v>
      </c>
      <c r="C31">
        <v>51.703000000000003</v>
      </c>
      <c r="D31">
        <v>644.50300000000004</v>
      </c>
      <c r="E31">
        <v>187</v>
      </c>
      <c r="F31">
        <v>1652</v>
      </c>
      <c r="G31">
        <v>33323.023999999998</v>
      </c>
      <c r="H31">
        <v>1261937</v>
      </c>
      <c r="I31">
        <f t="shared" ref="I31" si="94">C31-C30</f>
        <v>18.748000000000005</v>
      </c>
      <c r="J31">
        <f t="shared" ref="J31" si="95">H31-H29</f>
        <v>346750</v>
      </c>
      <c r="K31">
        <f t="shared" ref="K31" si="96">J31/I31</f>
        <v>18495.306165991035</v>
      </c>
      <c r="P31" s="10"/>
      <c r="Q31" t="s">
        <v>2</v>
      </c>
      <c r="R31">
        <v>32.744</v>
      </c>
      <c r="S31">
        <v>702.01900000000001</v>
      </c>
      <c r="T31">
        <v>317</v>
      </c>
      <c r="U31">
        <v>1352</v>
      </c>
      <c r="V31">
        <v>22986.720000000001</v>
      </c>
      <c r="W31">
        <v>870503</v>
      </c>
      <c r="X31">
        <f t="shared" ref="X31" si="97">R31-R30</f>
        <v>9.718</v>
      </c>
      <c r="Y31">
        <f t="shared" ref="Y31" si="98">W31-W29</f>
        <v>223422</v>
      </c>
      <c r="Z31">
        <f t="shared" ref="Z31" si="99">Y31/X31</f>
        <v>22990.533031487961</v>
      </c>
    </row>
    <row r="32" spans="1:28" x14ac:dyDescent="0.2">
      <c r="A32" s="11" t="s">
        <v>12</v>
      </c>
      <c r="B32" t="s">
        <v>1</v>
      </c>
      <c r="C32">
        <v>30.42</v>
      </c>
      <c r="D32">
        <v>547.82799999999997</v>
      </c>
      <c r="E32">
        <v>269</v>
      </c>
      <c r="F32">
        <v>1080</v>
      </c>
      <c r="G32">
        <v>16664.932000000001</v>
      </c>
      <c r="H32">
        <v>631098</v>
      </c>
      <c r="L32">
        <f t="shared" ref="L32" si="100">H32/C32</f>
        <v>20746.153846153844</v>
      </c>
      <c r="P32" s="10" t="s">
        <v>10</v>
      </c>
      <c r="Q32" t="s">
        <v>1</v>
      </c>
      <c r="R32">
        <v>27.646999999999998</v>
      </c>
      <c r="S32">
        <v>514.58600000000001</v>
      </c>
      <c r="T32">
        <v>199</v>
      </c>
      <c r="U32">
        <v>1042</v>
      </c>
      <c r="V32">
        <v>14226.948</v>
      </c>
      <c r="W32">
        <v>538772</v>
      </c>
      <c r="AA32">
        <f t="shared" ref="AA32" si="101">W32/R32</f>
        <v>19487.539335190075</v>
      </c>
    </row>
    <row r="33" spans="1:28" x14ac:dyDescent="0.2">
      <c r="A33" s="11"/>
      <c r="B33" t="s">
        <v>3</v>
      </c>
      <c r="C33">
        <v>30.42</v>
      </c>
      <c r="D33">
        <v>361.97800000000001</v>
      </c>
      <c r="E33">
        <v>216</v>
      </c>
      <c r="F33">
        <v>752</v>
      </c>
      <c r="G33">
        <v>11011.38</v>
      </c>
      <c r="H33">
        <v>416999</v>
      </c>
      <c r="M33" s="4">
        <f t="shared" ref="M33" si="102">L32/K34</f>
        <v>1.1216700503264703</v>
      </c>
      <c r="P33" s="10"/>
      <c r="Q33" t="s">
        <v>3</v>
      </c>
      <c r="R33">
        <v>27.646999999999998</v>
      </c>
      <c r="S33">
        <v>276.363</v>
      </c>
      <c r="T33">
        <v>170</v>
      </c>
      <c r="U33">
        <v>428</v>
      </c>
      <c r="V33">
        <v>7640.701</v>
      </c>
      <c r="W33">
        <v>289352</v>
      </c>
      <c r="AB33" s="5">
        <f t="shared" ref="AB33" si="103">AA32/Z34</f>
        <v>1.4766809926109554</v>
      </c>
    </row>
    <row r="34" spans="1:28" x14ac:dyDescent="0.2">
      <c r="A34" s="11"/>
      <c r="B34" t="s">
        <v>2</v>
      </c>
      <c r="C34">
        <v>38.817</v>
      </c>
      <c r="D34">
        <v>534.971</v>
      </c>
      <c r="E34">
        <v>274</v>
      </c>
      <c r="F34">
        <v>1080</v>
      </c>
      <c r="G34">
        <v>20766.060000000001</v>
      </c>
      <c r="H34">
        <v>786407</v>
      </c>
      <c r="I34">
        <f t="shared" ref="I34" si="104">C34-C33</f>
        <v>8.3969999999999985</v>
      </c>
      <c r="J34">
        <f t="shared" ref="J34" si="105">H34-H32</f>
        <v>155309</v>
      </c>
      <c r="K34">
        <f t="shared" ref="K34" si="106">J34/I34</f>
        <v>18495.772299630826</v>
      </c>
      <c r="P34" s="10"/>
      <c r="Q34" t="s">
        <v>2</v>
      </c>
      <c r="R34">
        <v>37.365000000000002</v>
      </c>
      <c r="S34">
        <v>471.392</v>
      </c>
      <c r="T34">
        <v>171</v>
      </c>
      <c r="U34">
        <v>1042</v>
      </c>
      <c r="V34">
        <v>17613.47</v>
      </c>
      <c r="W34">
        <v>667019</v>
      </c>
      <c r="X34">
        <f t="shared" ref="X34" si="107">R34-R33</f>
        <v>9.7180000000000035</v>
      </c>
      <c r="Y34">
        <f t="shared" ref="Y34" si="108">W34-W32</f>
        <v>128247</v>
      </c>
      <c r="Z34">
        <f t="shared" ref="Z34" si="109">Y34/X34</f>
        <v>13196.851203951426</v>
      </c>
    </row>
    <row r="35" spans="1:28" x14ac:dyDescent="0.2">
      <c r="A35" s="11" t="s">
        <v>12</v>
      </c>
      <c r="B35" t="s">
        <v>1</v>
      </c>
      <c r="C35">
        <v>38.606000000000002</v>
      </c>
      <c r="D35">
        <v>780.404</v>
      </c>
      <c r="E35">
        <v>436</v>
      </c>
      <c r="F35">
        <v>1381</v>
      </c>
      <c r="G35">
        <v>30128.210999999999</v>
      </c>
      <c r="H35">
        <v>1140950</v>
      </c>
      <c r="L35">
        <f t="shared" ref="L35" si="110">H35/C35</f>
        <v>29553.69631663472</v>
      </c>
      <c r="P35" s="10" t="s">
        <v>10</v>
      </c>
      <c r="Q35" t="s">
        <v>1</v>
      </c>
      <c r="R35">
        <v>28.175000000000001</v>
      </c>
      <c r="S35">
        <v>411.916</v>
      </c>
      <c r="T35">
        <v>232</v>
      </c>
      <c r="U35">
        <v>1038</v>
      </c>
      <c r="V35">
        <v>11605.916999999999</v>
      </c>
      <c r="W35">
        <v>439514</v>
      </c>
      <c r="AA35">
        <f t="shared" ref="AA35" si="111">W35/R35</f>
        <v>15599.432120674357</v>
      </c>
    </row>
    <row r="36" spans="1:28" x14ac:dyDescent="0.2">
      <c r="A36" s="11"/>
      <c r="B36" t="s">
        <v>3</v>
      </c>
      <c r="C36">
        <v>38.606000000000002</v>
      </c>
      <c r="D36">
        <v>634.798</v>
      </c>
      <c r="E36">
        <v>218</v>
      </c>
      <c r="F36">
        <v>1945</v>
      </c>
      <c r="G36">
        <v>24506.98</v>
      </c>
      <c r="H36">
        <v>928075</v>
      </c>
      <c r="M36" s="4">
        <f t="shared" ref="M36" si="112">L35/K37</f>
        <v>1.0598575027114492</v>
      </c>
      <c r="P36" s="10"/>
      <c r="Q36" t="s">
        <v>3</v>
      </c>
      <c r="R36">
        <v>28.175000000000001</v>
      </c>
      <c r="S36">
        <v>207.05099999999999</v>
      </c>
      <c r="T36">
        <v>144</v>
      </c>
      <c r="U36">
        <v>291</v>
      </c>
      <c r="V36">
        <v>5833.7479999999996</v>
      </c>
      <c r="W36">
        <v>220923</v>
      </c>
      <c r="AB36" s="5">
        <f t="shared" ref="AB36" si="113">AA35/Z37</f>
        <v>1.7929317630290413</v>
      </c>
    </row>
    <row r="37" spans="1:28" x14ac:dyDescent="0.2">
      <c r="A37" s="11"/>
      <c r="B37" t="s">
        <v>2</v>
      </c>
      <c r="C37">
        <v>60.338000000000001</v>
      </c>
      <c r="D37">
        <v>764.524</v>
      </c>
      <c r="E37">
        <v>391</v>
      </c>
      <c r="F37">
        <v>1381</v>
      </c>
      <c r="G37">
        <v>46130.082000000002</v>
      </c>
      <c r="H37">
        <v>1746938</v>
      </c>
      <c r="I37">
        <f t="shared" ref="I37" si="114">C37-C36</f>
        <v>21.731999999999999</v>
      </c>
      <c r="J37">
        <f t="shared" ref="J37" si="115">H37-H35</f>
        <v>605988</v>
      </c>
      <c r="K37">
        <f t="shared" ref="K37" si="116">J37/I37</f>
        <v>27884.594146880179</v>
      </c>
      <c r="P37" s="10"/>
      <c r="Q37" t="s">
        <v>2</v>
      </c>
      <c r="R37">
        <v>31.661000000000001</v>
      </c>
      <c r="S37">
        <v>391.863</v>
      </c>
      <c r="T37">
        <v>189</v>
      </c>
      <c r="U37">
        <v>1038</v>
      </c>
      <c r="V37">
        <v>12406.817999999999</v>
      </c>
      <c r="W37">
        <v>469844</v>
      </c>
      <c r="X37">
        <f>R37-R36</f>
        <v>3.4860000000000007</v>
      </c>
      <c r="Y37">
        <f t="shared" ref="Y37" si="117">W37-W35</f>
        <v>30330</v>
      </c>
      <c r="Z37">
        <f t="shared" ref="Z37" si="118">Y37/X37</f>
        <v>8700.5163511187584</v>
      </c>
    </row>
    <row r="38" spans="1:28" x14ac:dyDescent="0.2">
      <c r="A38" s="11" t="s">
        <v>12</v>
      </c>
      <c r="B38" t="s">
        <v>1</v>
      </c>
      <c r="C38">
        <v>29.39</v>
      </c>
      <c r="D38">
        <v>437.93200000000002</v>
      </c>
      <c r="E38">
        <v>253</v>
      </c>
      <c r="F38">
        <v>782</v>
      </c>
      <c r="G38">
        <v>12870.882</v>
      </c>
      <c r="H38">
        <v>487418</v>
      </c>
      <c r="L38">
        <f t="shared" ref="L38" si="119">H38/C38</f>
        <v>16584.484518543723</v>
      </c>
      <c r="P38" s="10" t="s">
        <v>10</v>
      </c>
      <c r="Q38" t="s">
        <v>1</v>
      </c>
      <c r="R38">
        <v>24.109000000000002</v>
      </c>
      <c r="S38">
        <v>429.64299999999997</v>
      </c>
      <c r="T38">
        <v>252</v>
      </c>
      <c r="U38">
        <v>723</v>
      </c>
      <c r="V38">
        <v>10358.221</v>
      </c>
      <c r="W38">
        <v>392264</v>
      </c>
      <c r="AA38">
        <f t="shared" ref="AA38" si="120">W38/R38</f>
        <v>16270.438425484257</v>
      </c>
    </row>
    <row r="39" spans="1:28" x14ac:dyDescent="0.2">
      <c r="A39" s="11"/>
      <c r="B39" t="s">
        <v>3</v>
      </c>
      <c r="C39">
        <v>29.39</v>
      </c>
      <c r="D39">
        <v>684.07799999999997</v>
      </c>
      <c r="E39">
        <v>262</v>
      </c>
      <c r="F39">
        <v>1642</v>
      </c>
      <c r="G39">
        <v>20105.164000000001</v>
      </c>
      <c r="H39">
        <v>761379</v>
      </c>
      <c r="M39" s="4">
        <f t="shared" ref="M39" si="121">L38/K40</f>
        <v>1.0552149761927136</v>
      </c>
      <c r="P39" s="10"/>
      <c r="Q39" t="s">
        <v>3</v>
      </c>
      <c r="R39">
        <v>24.109000000000002</v>
      </c>
      <c r="S39">
        <v>209.32300000000001</v>
      </c>
      <c r="T39">
        <v>140</v>
      </c>
      <c r="U39">
        <v>308</v>
      </c>
      <c r="V39">
        <v>5046.5510000000004</v>
      </c>
      <c r="W39">
        <v>191112</v>
      </c>
      <c r="AB39" s="5">
        <f t="shared" ref="AB39" si="122">AA38/Z40</f>
        <v>1.187555679775792</v>
      </c>
    </row>
    <row r="40" spans="1:28" x14ac:dyDescent="0.2">
      <c r="A40" s="11"/>
      <c r="B40" t="s">
        <v>2</v>
      </c>
      <c r="C40">
        <v>44.256999999999998</v>
      </c>
      <c r="D40">
        <v>430.23700000000002</v>
      </c>
      <c r="E40">
        <v>229</v>
      </c>
      <c r="F40">
        <v>878</v>
      </c>
      <c r="G40">
        <v>19040.966</v>
      </c>
      <c r="H40">
        <v>721078</v>
      </c>
      <c r="I40">
        <f t="shared" ref="I40" si="123">C40-C39</f>
        <v>14.866999999999997</v>
      </c>
      <c r="J40">
        <f t="shared" ref="J40" si="124">H40-H38</f>
        <v>233660</v>
      </c>
      <c r="K40">
        <f t="shared" ref="K40" si="125">J40/I40</f>
        <v>15716.687966637523</v>
      </c>
      <c r="P40" s="10"/>
      <c r="Q40" t="s">
        <v>2</v>
      </c>
      <c r="R40">
        <v>46.817999999999998</v>
      </c>
      <c r="S40">
        <v>396.726</v>
      </c>
      <c r="T40">
        <v>151</v>
      </c>
      <c r="U40">
        <v>723</v>
      </c>
      <c r="V40">
        <v>18574.024000000001</v>
      </c>
      <c r="W40">
        <v>703395</v>
      </c>
      <c r="X40">
        <f t="shared" ref="X40" si="126">R40-R39</f>
        <v>22.708999999999996</v>
      </c>
      <c r="Y40">
        <f t="shared" ref="Y40" si="127">W40-W38</f>
        <v>311131</v>
      </c>
      <c r="Z40">
        <f t="shared" ref="Z40" si="128">Y40/X40</f>
        <v>13700.779426659035</v>
      </c>
    </row>
    <row r="41" spans="1:28" x14ac:dyDescent="0.2">
      <c r="A41" s="11" t="s">
        <v>12</v>
      </c>
      <c r="B41" t="s">
        <v>1</v>
      </c>
      <c r="C41">
        <v>77.238</v>
      </c>
      <c r="D41">
        <v>629.01300000000003</v>
      </c>
      <c r="E41">
        <v>297</v>
      </c>
      <c r="F41">
        <v>1031</v>
      </c>
      <c r="G41">
        <v>48583.856</v>
      </c>
      <c r="H41">
        <v>1839862</v>
      </c>
      <c r="L41">
        <f t="shared" ref="L41" si="129">H41/C41</f>
        <v>23820.68411921593</v>
      </c>
      <c r="P41" s="10" t="s">
        <v>10</v>
      </c>
      <c r="Q41" t="s">
        <v>1</v>
      </c>
      <c r="R41">
        <v>34.433999999999997</v>
      </c>
      <c r="S41">
        <v>419.83699999999999</v>
      </c>
      <c r="T41">
        <v>129</v>
      </c>
      <c r="U41">
        <v>708</v>
      </c>
      <c r="V41">
        <v>14456.55</v>
      </c>
      <c r="W41">
        <v>547467</v>
      </c>
      <c r="AA41">
        <f t="shared" ref="AA41" si="130">W41/R41</f>
        <v>15899.024220247431</v>
      </c>
    </row>
    <row r="42" spans="1:28" x14ac:dyDescent="0.2">
      <c r="A42" s="11"/>
      <c r="B42" t="s">
        <v>3</v>
      </c>
      <c r="C42">
        <v>77.238</v>
      </c>
      <c r="D42">
        <v>589.28300000000002</v>
      </c>
      <c r="E42">
        <v>322</v>
      </c>
      <c r="F42">
        <v>1101</v>
      </c>
      <c r="G42">
        <v>45515.237999999998</v>
      </c>
      <c r="H42">
        <v>1723654</v>
      </c>
      <c r="M42" s="4">
        <f t="shared" ref="M42" si="131">L41/K43</f>
        <v>1.1770519538830131</v>
      </c>
      <c r="P42" s="10"/>
      <c r="Q42" t="s">
        <v>3</v>
      </c>
      <c r="R42">
        <v>34.433999999999997</v>
      </c>
      <c r="S42">
        <v>215.94200000000001</v>
      </c>
      <c r="T42">
        <v>145</v>
      </c>
      <c r="U42">
        <v>417</v>
      </c>
      <c r="V42">
        <v>7435.71</v>
      </c>
      <c r="W42">
        <v>281589</v>
      </c>
      <c r="AB42" s="5">
        <f t="shared" ref="AB42" si="132">AA41/Z43</f>
        <v>1.4927409225827517</v>
      </c>
    </row>
    <row r="43" spans="1:28" x14ac:dyDescent="0.2">
      <c r="A43" s="11"/>
      <c r="B43" t="s">
        <v>2</v>
      </c>
      <c r="C43">
        <v>116.029</v>
      </c>
      <c r="D43">
        <v>597.38199999999995</v>
      </c>
      <c r="E43">
        <v>280</v>
      </c>
      <c r="F43">
        <v>1101</v>
      </c>
      <c r="G43">
        <v>69313.713000000003</v>
      </c>
      <c r="H43">
        <v>2624898</v>
      </c>
      <c r="I43">
        <f t="shared" ref="I43" si="133">C43-C42</f>
        <v>38.790999999999997</v>
      </c>
      <c r="J43">
        <f t="shared" ref="J43" si="134">H43-H41</f>
        <v>785036</v>
      </c>
      <c r="K43">
        <f t="shared" ref="K43" si="135">J43/I43</f>
        <v>20237.580882163391</v>
      </c>
      <c r="P43" s="10"/>
      <c r="Q43" t="s">
        <v>2</v>
      </c>
      <c r="R43">
        <v>47.98</v>
      </c>
      <c r="S43">
        <v>380.70699999999999</v>
      </c>
      <c r="T43">
        <v>112</v>
      </c>
      <c r="U43">
        <v>708</v>
      </c>
      <c r="V43">
        <v>18266.365000000002</v>
      </c>
      <c r="W43">
        <v>691744</v>
      </c>
      <c r="X43">
        <f t="shared" ref="X43" si="136">R43-R42</f>
        <v>13.545999999999999</v>
      </c>
      <c r="Y43">
        <f t="shared" ref="Y43" si="137">W43-W41</f>
        <v>144277</v>
      </c>
      <c r="Z43">
        <f t="shared" ref="Z43" si="138">Y43/X43</f>
        <v>10650.893252620701</v>
      </c>
    </row>
    <row r="44" spans="1:28" x14ac:dyDescent="0.2">
      <c r="A44" s="11" t="s">
        <v>12</v>
      </c>
      <c r="B44" t="s">
        <v>1</v>
      </c>
      <c r="C44">
        <v>22.603999999999999</v>
      </c>
      <c r="D44">
        <v>617.59100000000001</v>
      </c>
      <c r="E44">
        <v>371</v>
      </c>
      <c r="F44">
        <v>937</v>
      </c>
      <c r="G44">
        <v>13959.875</v>
      </c>
      <c r="H44">
        <v>528658</v>
      </c>
      <c r="L44">
        <f t="shared" ref="L44" si="139">H44/C44</f>
        <v>23387.807467704832</v>
      </c>
      <c r="P44" s="10" t="s">
        <v>10</v>
      </c>
      <c r="Q44" t="s">
        <v>1</v>
      </c>
      <c r="R44">
        <v>37.682000000000002</v>
      </c>
      <c r="S44">
        <v>296.82100000000003</v>
      </c>
      <c r="T44">
        <v>154</v>
      </c>
      <c r="U44">
        <v>583</v>
      </c>
      <c r="V44">
        <v>11184.71</v>
      </c>
      <c r="W44">
        <v>423563</v>
      </c>
      <c r="AA44">
        <f t="shared" ref="AA44" si="140">W44/R44</f>
        <v>11240.45963590043</v>
      </c>
    </row>
    <row r="45" spans="1:28" x14ac:dyDescent="0.2">
      <c r="A45" s="11"/>
      <c r="B45" t="s">
        <v>3</v>
      </c>
      <c r="C45">
        <v>22.603999999999999</v>
      </c>
      <c r="D45">
        <v>1368.1479999999999</v>
      </c>
      <c r="E45">
        <v>674</v>
      </c>
      <c r="F45">
        <v>2225</v>
      </c>
      <c r="G45">
        <v>30925.284</v>
      </c>
      <c r="H45">
        <v>1171135</v>
      </c>
      <c r="M45" s="4">
        <f t="shared" ref="M45" si="141">L44/K46</f>
        <v>1.2191251775150349</v>
      </c>
      <c r="P45" s="10"/>
      <c r="Q45" t="s">
        <v>3</v>
      </c>
      <c r="R45">
        <v>37.682000000000002</v>
      </c>
      <c r="S45">
        <v>218.43</v>
      </c>
      <c r="T45">
        <v>141</v>
      </c>
      <c r="U45">
        <v>336</v>
      </c>
      <c r="V45">
        <v>8230.8279999999995</v>
      </c>
      <c r="W45">
        <v>311700</v>
      </c>
      <c r="AB45" s="5">
        <f t="shared" ref="AB45" si="142">AA44/Z46</f>
        <v>1.224533611502288</v>
      </c>
    </row>
    <row r="46" spans="1:28" x14ac:dyDescent="0.2">
      <c r="A46" s="11"/>
      <c r="B46" t="s">
        <v>2</v>
      </c>
      <c r="C46">
        <v>51.491999999999997</v>
      </c>
      <c r="D46">
        <v>555.30700000000002</v>
      </c>
      <c r="E46">
        <v>298</v>
      </c>
      <c r="F46">
        <v>937</v>
      </c>
      <c r="G46">
        <v>28593.955000000002</v>
      </c>
      <c r="H46">
        <v>1082848</v>
      </c>
      <c r="I46">
        <f t="shared" ref="I46" si="143">C46-C45</f>
        <v>28.887999999999998</v>
      </c>
      <c r="J46">
        <f t="shared" ref="J46" si="144">H46-H44</f>
        <v>554190</v>
      </c>
      <c r="K46">
        <f t="shared" ref="K46" si="145">J46/I46</f>
        <v>19184.090279700915</v>
      </c>
      <c r="P46" s="10"/>
      <c r="Q46" t="s">
        <v>2</v>
      </c>
      <c r="R46">
        <v>61.658999999999999</v>
      </c>
      <c r="S46">
        <v>275.65600000000001</v>
      </c>
      <c r="T46">
        <v>131</v>
      </c>
      <c r="U46">
        <v>583</v>
      </c>
      <c r="V46">
        <v>16996.567999999999</v>
      </c>
      <c r="W46">
        <v>643657</v>
      </c>
      <c r="X46">
        <f t="shared" ref="X46" si="146">R46-R45</f>
        <v>23.976999999999997</v>
      </c>
      <c r="Y46">
        <f t="shared" ref="Y46" si="147">W46-W44</f>
        <v>220094</v>
      </c>
      <c r="Z46">
        <f t="shared" ref="Z46" si="148">Y46/X46</f>
        <v>9179.3802393960887</v>
      </c>
    </row>
    <row r="47" spans="1:28" x14ac:dyDescent="0.2">
      <c r="A47" s="11" t="s">
        <v>12</v>
      </c>
      <c r="B47" t="s">
        <v>1</v>
      </c>
      <c r="C47">
        <v>35.542999999999999</v>
      </c>
      <c r="D47">
        <v>383.42899999999997</v>
      </c>
      <c r="E47">
        <v>206</v>
      </c>
      <c r="F47">
        <v>547</v>
      </c>
      <c r="G47">
        <v>13628.16</v>
      </c>
      <c r="H47">
        <v>516096</v>
      </c>
      <c r="L47">
        <f t="shared" ref="L47" si="149">H47/C47</f>
        <v>14520.327490645135</v>
      </c>
      <c r="P47" s="10" t="s">
        <v>10</v>
      </c>
      <c r="Q47" t="s">
        <v>1</v>
      </c>
      <c r="R47">
        <v>26.088999999999999</v>
      </c>
      <c r="S47">
        <v>457.28800000000001</v>
      </c>
      <c r="T47">
        <v>203</v>
      </c>
      <c r="U47">
        <v>906</v>
      </c>
      <c r="V47">
        <v>11930.37</v>
      </c>
      <c r="W47">
        <v>451801</v>
      </c>
      <c r="AA47">
        <f t="shared" ref="AA47" si="150">W47/R47</f>
        <v>17317.681781593776</v>
      </c>
    </row>
    <row r="48" spans="1:28" x14ac:dyDescent="0.2">
      <c r="A48" s="11"/>
      <c r="B48" t="s">
        <v>3</v>
      </c>
      <c r="C48">
        <v>35.542999999999999</v>
      </c>
      <c r="D48">
        <v>1123.184</v>
      </c>
      <c r="E48">
        <v>399</v>
      </c>
      <c r="F48">
        <v>2021</v>
      </c>
      <c r="G48">
        <v>39921.127</v>
      </c>
      <c r="H48">
        <v>1511806</v>
      </c>
      <c r="M48" s="4">
        <f t="shared" ref="M48" si="151">L47/K49</f>
        <v>1.2815519921183269</v>
      </c>
      <c r="P48" s="10"/>
      <c r="Q48" t="s">
        <v>3</v>
      </c>
      <c r="R48">
        <v>26.088999999999999</v>
      </c>
      <c r="S48">
        <v>243.85599999999999</v>
      </c>
      <c r="T48">
        <v>156</v>
      </c>
      <c r="U48">
        <v>373</v>
      </c>
      <c r="V48">
        <v>6362.058</v>
      </c>
      <c r="W48">
        <v>240930</v>
      </c>
      <c r="AB48" s="5">
        <f t="shared" ref="AB48" si="152">AA47/Z49</f>
        <v>1.4410601479422063</v>
      </c>
    </row>
    <row r="49" spans="1:28" x14ac:dyDescent="0.2">
      <c r="A49" s="11"/>
      <c r="B49" t="s">
        <v>2</v>
      </c>
      <c r="C49">
        <v>45.655999999999999</v>
      </c>
      <c r="D49">
        <v>364.76499999999999</v>
      </c>
      <c r="E49">
        <v>172</v>
      </c>
      <c r="F49">
        <v>547</v>
      </c>
      <c r="G49">
        <v>16653.866999999998</v>
      </c>
      <c r="H49">
        <v>630679</v>
      </c>
      <c r="I49">
        <f t="shared" ref="I49" si="153">C49-C48</f>
        <v>10.113</v>
      </c>
      <c r="J49">
        <f t="shared" ref="J49" si="154">H49-H47</f>
        <v>114583</v>
      </c>
      <c r="K49">
        <f t="shared" ref="K49" si="155">J49/I49</f>
        <v>11330.267971917334</v>
      </c>
      <c r="P49" s="10"/>
      <c r="Q49" t="s">
        <v>2</v>
      </c>
      <c r="R49">
        <v>42.197000000000003</v>
      </c>
      <c r="S49">
        <v>403.86500000000001</v>
      </c>
      <c r="T49">
        <v>150</v>
      </c>
      <c r="U49">
        <v>906</v>
      </c>
      <c r="V49">
        <v>17041.96</v>
      </c>
      <c r="W49">
        <v>645376</v>
      </c>
      <c r="X49">
        <f t="shared" ref="X49" si="156">R49-R48</f>
        <v>16.108000000000004</v>
      </c>
      <c r="Y49">
        <f t="shared" ref="Y49" si="157">W49-W47</f>
        <v>193575</v>
      </c>
      <c r="Z49">
        <f t="shared" ref="Z49" si="158">Y49/X49</f>
        <v>12017.320586044199</v>
      </c>
    </row>
    <row r="50" spans="1:28" x14ac:dyDescent="0.2">
      <c r="A50" s="11" t="s">
        <v>12</v>
      </c>
      <c r="B50" t="s">
        <v>1</v>
      </c>
      <c r="C50">
        <v>28.123000000000001</v>
      </c>
      <c r="D50">
        <v>429.15899999999999</v>
      </c>
      <c r="E50">
        <v>220</v>
      </c>
      <c r="F50">
        <v>724</v>
      </c>
      <c r="G50">
        <v>12069.082</v>
      </c>
      <c r="H50">
        <v>457054</v>
      </c>
      <c r="L50">
        <f t="shared" ref="L50" si="159">H50/C50</f>
        <v>16251.964584148205</v>
      </c>
      <c r="P50" s="10" t="s">
        <v>10</v>
      </c>
      <c r="Q50" t="s">
        <v>1</v>
      </c>
      <c r="R50">
        <v>30.234999999999999</v>
      </c>
      <c r="S50">
        <v>384.17200000000003</v>
      </c>
      <c r="T50">
        <v>178</v>
      </c>
      <c r="U50">
        <v>814</v>
      </c>
      <c r="V50">
        <v>11615.502</v>
      </c>
      <c r="W50">
        <v>439877</v>
      </c>
      <c r="AA50">
        <f t="shared" ref="AA50" si="160">W50/R50</f>
        <v>14548.602612865885</v>
      </c>
    </row>
    <row r="51" spans="1:28" x14ac:dyDescent="0.2">
      <c r="A51" s="11"/>
      <c r="B51" t="s">
        <v>3</v>
      </c>
      <c r="C51">
        <v>28.123000000000001</v>
      </c>
      <c r="D51">
        <v>584.63300000000004</v>
      </c>
      <c r="E51">
        <v>223</v>
      </c>
      <c r="F51">
        <v>1455</v>
      </c>
      <c r="G51">
        <v>16441.429</v>
      </c>
      <c r="H51">
        <v>622634</v>
      </c>
      <c r="M51">
        <f t="shared" ref="M51" si="161">L50/K52</f>
        <v>1.0721403584498841</v>
      </c>
      <c r="P51" s="10"/>
      <c r="Q51" t="s">
        <v>3</v>
      </c>
      <c r="R51">
        <v>30.234999999999999</v>
      </c>
      <c r="S51">
        <v>243.57300000000001</v>
      </c>
      <c r="T51">
        <v>134</v>
      </c>
      <c r="U51">
        <v>558</v>
      </c>
      <c r="V51">
        <v>7364.4650000000001</v>
      </c>
      <c r="W51">
        <v>278891</v>
      </c>
      <c r="AB51" s="5">
        <f t="shared" ref="AB51" si="162">AA50/Z52</f>
        <v>1.3156865688897825</v>
      </c>
    </row>
    <row r="52" spans="1:28" x14ac:dyDescent="0.2">
      <c r="A52" s="11"/>
      <c r="B52" t="s">
        <v>2</v>
      </c>
      <c r="C52">
        <v>47.69</v>
      </c>
      <c r="D52">
        <v>417.30799999999999</v>
      </c>
      <c r="E52">
        <v>220</v>
      </c>
      <c r="F52">
        <v>724</v>
      </c>
      <c r="G52">
        <v>19901.308000000001</v>
      </c>
      <c r="H52">
        <v>753659</v>
      </c>
      <c r="I52">
        <f t="shared" ref="I52" si="163">C52-C51</f>
        <v>19.566999999999997</v>
      </c>
      <c r="J52">
        <f t="shared" ref="J52" si="164">H52-H50</f>
        <v>296605</v>
      </c>
      <c r="K52">
        <f t="shared" ref="K52" si="165">J52/I52</f>
        <v>15158.43000971023</v>
      </c>
      <c r="P52" s="10"/>
      <c r="Q52" t="s">
        <v>2</v>
      </c>
      <c r="R52">
        <v>38.764000000000003</v>
      </c>
      <c r="S52">
        <v>363.88900000000001</v>
      </c>
      <c r="T52">
        <v>178</v>
      </c>
      <c r="U52">
        <v>814</v>
      </c>
      <c r="V52">
        <v>14105.928</v>
      </c>
      <c r="W52">
        <v>534189</v>
      </c>
      <c r="X52">
        <f t="shared" ref="X52" si="166">R52-R51</f>
        <v>8.5290000000000035</v>
      </c>
      <c r="Y52">
        <f t="shared" ref="Y52" si="167">W52-W50</f>
        <v>94312</v>
      </c>
      <c r="Z52">
        <f t="shared" ref="Z52" si="168">Y52/X52</f>
        <v>11057.802790479536</v>
      </c>
    </row>
    <row r="53" spans="1:28" x14ac:dyDescent="0.2">
      <c r="A53" s="11" t="s">
        <v>12</v>
      </c>
      <c r="B53" t="s">
        <v>1</v>
      </c>
      <c r="C53">
        <v>38.631999999999998</v>
      </c>
      <c r="D53">
        <v>416.00099999999998</v>
      </c>
      <c r="E53">
        <v>153</v>
      </c>
      <c r="F53">
        <v>769</v>
      </c>
      <c r="G53">
        <v>16071.081</v>
      </c>
      <c r="H53">
        <v>608609</v>
      </c>
      <c r="L53">
        <f t="shared" ref="L53" si="169">H53/C53</f>
        <v>15754.012217850488</v>
      </c>
      <c r="P53" s="10" t="s">
        <v>10</v>
      </c>
      <c r="Q53" t="s">
        <v>1</v>
      </c>
      <c r="R53">
        <v>28.413</v>
      </c>
      <c r="S53">
        <v>540.17899999999997</v>
      </c>
      <c r="T53">
        <v>199</v>
      </c>
      <c r="U53">
        <v>1025</v>
      </c>
      <c r="V53">
        <v>15348.183999999999</v>
      </c>
      <c r="W53">
        <v>581233</v>
      </c>
      <c r="AA53">
        <f t="shared" ref="AA53" si="170">W53/R53</f>
        <v>20456.586773659943</v>
      </c>
    </row>
    <row r="54" spans="1:28" x14ac:dyDescent="0.2">
      <c r="A54" s="11"/>
      <c r="B54" t="s">
        <v>3</v>
      </c>
      <c r="C54">
        <v>38.631999999999998</v>
      </c>
      <c r="D54">
        <v>282.52600000000001</v>
      </c>
      <c r="E54">
        <v>159</v>
      </c>
      <c r="F54">
        <v>535</v>
      </c>
      <c r="G54">
        <v>10914.654</v>
      </c>
      <c r="H54">
        <v>413336</v>
      </c>
      <c r="M54" s="4">
        <f t="shared" ref="M54" si="171">L53/K55</f>
        <v>1.0977622084238718</v>
      </c>
      <c r="P54" s="10"/>
      <c r="Q54" t="s">
        <v>3</v>
      </c>
      <c r="R54">
        <v>28.413</v>
      </c>
      <c r="S54">
        <v>294.56900000000002</v>
      </c>
      <c r="T54">
        <v>190</v>
      </c>
      <c r="U54">
        <v>487</v>
      </c>
      <c r="V54">
        <v>8369.6190000000006</v>
      </c>
      <c r="W54">
        <v>316956</v>
      </c>
      <c r="AB54" s="5">
        <f t="shared" ref="AB54" si="172">AA53/Z55</f>
        <v>1.309712592651249</v>
      </c>
    </row>
    <row r="55" spans="1:28" x14ac:dyDescent="0.2">
      <c r="A55" s="11"/>
      <c r="B55" t="s">
        <v>2</v>
      </c>
      <c r="C55">
        <v>60.206000000000003</v>
      </c>
      <c r="D55">
        <v>402.72699999999998</v>
      </c>
      <c r="E55">
        <v>133</v>
      </c>
      <c r="F55">
        <v>769</v>
      </c>
      <c r="G55">
        <v>24246.694</v>
      </c>
      <c r="H55">
        <v>918218</v>
      </c>
      <c r="I55">
        <f t="shared" ref="I55" si="173">C55-C54</f>
        <v>21.574000000000005</v>
      </c>
      <c r="J55">
        <f t="shared" ref="J55" si="174">H55-H53</f>
        <v>309609</v>
      </c>
      <c r="K55">
        <f t="shared" ref="K55" si="175">J55/I55</f>
        <v>14351.024381199588</v>
      </c>
      <c r="P55" s="10"/>
      <c r="Q55" t="s">
        <v>2</v>
      </c>
      <c r="R55">
        <v>50.646999999999998</v>
      </c>
      <c r="S55">
        <v>484.10300000000001</v>
      </c>
      <c r="T55">
        <v>199</v>
      </c>
      <c r="U55">
        <v>1025</v>
      </c>
      <c r="V55">
        <v>24518.440999999999</v>
      </c>
      <c r="W55">
        <v>928509</v>
      </c>
      <c r="X55">
        <f t="shared" ref="X55" si="176">R55-R54</f>
        <v>22.233999999999998</v>
      </c>
      <c r="Y55">
        <f t="shared" ref="Y55" si="177">W55-W53</f>
        <v>347276</v>
      </c>
      <c r="Z55">
        <f t="shared" ref="Z55" si="178">Y55/X55</f>
        <v>15619.141854816948</v>
      </c>
    </row>
    <row r="56" spans="1:28" x14ac:dyDescent="0.2">
      <c r="A56" s="11" t="s">
        <v>12</v>
      </c>
      <c r="B56" t="s">
        <v>1</v>
      </c>
      <c r="C56">
        <v>37.840000000000003</v>
      </c>
      <c r="D56">
        <v>419.46899999999999</v>
      </c>
      <c r="E56">
        <v>184</v>
      </c>
      <c r="F56">
        <v>690</v>
      </c>
      <c r="G56">
        <v>15872.77</v>
      </c>
      <c r="H56">
        <v>601099</v>
      </c>
      <c r="L56">
        <f t="shared" ref="L56" si="179">H56/C56</f>
        <v>15885.280126849893</v>
      </c>
      <c r="P56" s="10" t="s">
        <v>10</v>
      </c>
      <c r="Q56" t="s">
        <v>1</v>
      </c>
      <c r="R56">
        <v>29.311</v>
      </c>
      <c r="S56">
        <v>511.80700000000002</v>
      </c>
      <c r="T56">
        <v>280</v>
      </c>
      <c r="U56">
        <v>977</v>
      </c>
      <c r="V56">
        <v>15001.549000000001</v>
      </c>
      <c r="W56">
        <v>568106</v>
      </c>
      <c r="AA56">
        <f t="shared" ref="AA56" si="180">W56/R56</f>
        <v>19382.00675514312</v>
      </c>
    </row>
    <row r="57" spans="1:28" x14ac:dyDescent="0.2">
      <c r="A57" s="11"/>
      <c r="B57" t="s">
        <v>3</v>
      </c>
      <c r="C57">
        <v>37.840000000000003</v>
      </c>
      <c r="D57">
        <v>386.19499999999999</v>
      </c>
      <c r="E57">
        <v>211</v>
      </c>
      <c r="F57">
        <v>768</v>
      </c>
      <c r="G57">
        <v>14613.668</v>
      </c>
      <c r="H57">
        <v>553417</v>
      </c>
      <c r="J57" cm="1">
        <f t="array" aca="1" ref="J57" ca="1">+J35:J57</f>
        <v>0</v>
      </c>
      <c r="M57" s="4">
        <f t="shared" ref="M57" si="181">L56/K58</f>
        <v>0.95287820143025048</v>
      </c>
      <c r="P57" s="10"/>
      <c r="Q57" t="s">
        <v>3</v>
      </c>
      <c r="R57">
        <v>29.311</v>
      </c>
      <c r="S57">
        <v>1440.556</v>
      </c>
      <c r="T57">
        <v>323</v>
      </c>
      <c r="U57">
        <v>2847</v>
      </c>
      <c r="V57">
        <v>42224.042999999998</v>
      </c>
      <c r="W57">
        <v>1599017</v>
      </c>
      <c r="AB57" s="5">
        <f t="shared" ref="AB57" si="182">AA56/Z58</f>
        <v>1.3396959220131415</v>
      </c>
    </row>
    <row r="58" spans="1:28" x14ac:dyDescent="0.2">
      <c r="A58" s="11"/>
      <c r="B58" t="s">
        <v>2</v>
      </c>
      <c r="C58">
        <v>50.779000000000003</v>
      </c>
      <c r="D58">
        <v>424.755</v>
      </c>
      <c r="E58">
        <v>191</v>
      </c>
      <c r="F58">
        <v>757</v>
      </c>
      <c r="G58">
        <v>21568.704000000002</v>
      </c>
      <c r="H58">
        <v>816803</v>
      </c>
      <c r="I58">
        <f t="shared" ref="I58" si="183">C58-C57</f>
        <v>12.939</v>
      </c>
      <c r="J58">
        <f t="shared" ref="J58" si="184">H58-H56</f>
        <v>215704</v>
      </c>
      <c r="K58">
        <f t="shared" ref="K58" si="185">J58/I58</f>
        <v>16670.840095834301</v>
      </c>
      <c r="P58" s="10"/>
      <c r="Q58" t="s">
        <v>2</v>
      </c>
      <c r="R58">
        <v>39.055</v>
      </c>
      <c r="S58">
        <v>479.43</v>
      </c>
      <c r="T58">
        <v>267</v>
      </c>
      <c r="U58">
        <v>977</v>
      </c>
      <c r="V58">
        <v>18724.064999999999</v>
      </c>
      <c r="W58">
        <v>709077</v>
      </c>
      <c r="X58">
        <f t="shared" ref="X58" si="186">R58-R57</f>
        <v>9.7439999999999998</v>
      </c>
      <c r="Y58">
        <f t="shared" ref="Y58" si="187">W58-W56</f>
        <v>140971</v>
      </c>
      <c r="Z58">
        <f t="shared" ref="Z58" si="188">Y58/X58</f>
        <v>14467.467159277505</v>
      </c>
    </row>
    <row r="59" spans="1:28" x14ac:dyDescent="0.2">
      <c r="A59" s="11" t="s">
        <v>12</v>
      </c>
      <c r="B59" t="s">
        <v>1</v>
      </c>
      <c r="C59">
        <v>31.212</v>
      </c>
      <c r="D59">
        <v>334.94200000000001</v>
      </c>
      <c r="E59">
        <v>167</v>
      </c>
      <c r="F59">
        <v>592</v>
      </c>
      <c r="G59">
        <v>10454.287</v>
      </c>
      <c r="H59">
        <v>395902</v>
      </c>
      <c r="L59">
        <f t="shared" ref="L59" si="189">H59/C59</f>
        <v>12684.288094322697</v>
      </c>
      <c r="P59" s="10" t="s">
        <v>10</v>
      </c>
      <c r="Q59" t="s">
        <v>1</v>
      </c>
      <c r="R59">
        <v>20.966999999999999</v>
      </c>
      <c r="S59">
        <v>473.09699999999998</v>
      </c>
      <c r="T59">
        <v>232</v>
      </c>
      <c r="U59">
        <v>769</v>
      </c>
      <c r="V59">
        <v>9919.2170000000006</v>
      </c>
      <c r="W59">
        <v>375639</v>
      </c>
      <c r="AA59">
        <f t="shared" ref="AA59" si="190">W59/R59</f>
        <v>17915.724710258979</v>
      </c>
    </row>
    <row r="60" spans="1:28" x14ac:dyDescent="0.2">
      <c r="A60" s="11"/>
      <c r="B60" t="s">
        <v>3</v>
      </c>
      <c r="C60">
        <v>31.212</v>
      </c>
      <c r="D60">
        <v>954.54300000000001</v>
      </c>
      <c r="E60">
        <v>353</v>
      </c>
      <c r="F60">
        <v>1984</v>
      </c>
      <c r="G60">
        <v>29793.38</v>
      </c>
      <c r="H60">
        <v>1128270</v>
      </c>
      <c r="M60" s="4">
        <f t="shared" ref="M60" si="191">L59/K61</f>
        <v>1.1131225660899253</v>
      </c>
      <c r="P60" s="10"/>
      <c r="Q60" t="s">
        <v>3</v>
      </c>
      <c r="R60">
        <v>20.966999999999999</v>
      </c>
      <c r="S60">
        <v>303.77</v>
      </c>
      <c r="T60">
        <v>159</v>
      </c>
      <c r="U60">
        <v>449</v>
      </c>
      <c r="V60">
        <v>6369.0029999999997</v>
      </c>
      <c r="W60">
        <v>241193</v>
      </c>
      <c r="AB60" s="5">
        <f t="shared" ref="AB60" si="192">AA59/Z61</f>
        <v>1.3880846484847436</v>
      </c>
    </row>
    <row r="61" spans="1:28" x14ac:dyDescent="0.2">
      <c r="A61" s="11"/>
      <c r="B61" t="s">
        <v>2</v>
      </c>
      <c r="C61">
        <v>47.901000000000003</v>
      </c>
      <c r="D61">
        <v>323.08499999999998</v>
      </c>
      <c r="E61">
        <v>163</v>
      </c>
      <c r="F61">
        <v>592</v>
      </c>
      <c r="G61">
        <v>15476.096</v>
      </c>
      <c r="H61">
        <v>586077</v>
      </c>
      <c r="I61">
        <f t="shared" ref="I61" si="193">C61-C60</f>
        <v>16.689000000000004</v>
      </c>
      <c r="J61">
        <f t="shared" ref="J61" si="194">H61-H59</f>
        <v>190175</v>
      </c>
      <c r="K61">
        <f t="shared" ref="K61" si="195">J61/I61</f>
        <v>11395.230391275689</v>
      </c>
      <c r="P61" s="10"/>
      <c r="Q61" t="s">
        <v>2</v>
      </c>
      <c r="R61">
        <v>27.382999999999999</v>
      </c>
      <c r="S61">
        <v>442.09199999999998</v>
      </c>
      <c r="T61">
        <v>199</v>
      </c>
      <c r="U61">
        <v>769</v>
      </c>
      <c r="V61">
        <v>12105.919</v>
      </c>
      <c r="W61">
        <v>458449</v>
      </c>
      <c r="X61">
        <f t="shared" ref="X61" si="196">R61-R60</f>
        <v>6.4160000000000004</v>
      </c>
      <c r="Y61">
        <f t="shared" ref="Y61" si="197">W61-W59</f>
        <v>82810</v>
      </c>
      <c r="Z61">
        <f t="shared" ref="Z61" si="198">Y61/X61</f>
        <v>12906.795511221944</v>
      </c>
    </row>
  </sheetData>
  <mergeCells count="40">
    <mergeCell ref="P47:P49"/>
    <mergeCell ref="P50:P52"/>
    <mergeCell ref="P53:P55"/>
    <mergeCell ref="P56:P58"/>
    <mergeCell ref="P59:P61"/>
    <mergeCell ref="P32:P34"/>
    <mergeCell ref="P35:P37"/>
    <mergeCell ref="P38:P40"/>
    <mergeCell ref="P41:P43"/>
    <mergeCell ref="P44:P46"/>
    <mergeCell ref="P17:P19"/>
    <mergeCell ref="P20:P22"/>
    <mergeCell ref="P23:P25"/>
    <mergeCell ref="P26:P28"/>
    <mergeCell ref="P29:P31"/>
    <mergeCell ref="P2:P4"/>
    <mergeCell ref="P5:P7"/>
    <mergeCell ref="P8:P10"/>
    <mergeCell ref="P11:P13"/>
    <mergeCell ref="P14:P16"/>
    <mergeCell ref="A47:A49"/>
    <mergeCell ref="A50:A52"/>
    <mergeCell ref="A53:A55"/>
    <mergeCell ref="A56:A58"/>
    <mergeCell ref="A59:A61"/>
    <mergeCell ref="A32:A34"/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ED3F-D04E-DB41-A27B-32A53F0E9401}">
  <dimension ref="A1:AB61"/>
  <sheetViews>
    <sheetView tabSelected="1" workbookViewId="0">
      <selection activeCell="S21" sqref="S21"/>
    </sheetView>
  </sheetViews>
  <sheetFormatPr baseColWidth="10" defaultRowHeight="16" x14ac:dyDescent="0.2"/>
  <sheetData>
    <row r="1" spans="1:28" x14ac:dyDescent="0.2">
      <c r="A1" t="s">
        <v>50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P1" t="s">
        <v>50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</row>
    <row r="2" spans="1:28" x14ac:dyDescent="0.2">
      <c r="A2" t="s">
        <v>1</v>
      </c>
      <c r="B2" s="11" t="s">
        <v>12</v>
      </c>
      <c r="C2">
        <v>43.887</v>
      </c>
      <c r="D2">
        <v>694.48400000000004</v>
      </c>
      <c r="E2">
        <v>286</v>
      </c>
      <c r="F2">
        <v>1287</v>
      </c>
      <c r="G2">
        <v>30478.965</v>
      </c>
      <c r="H2">
        <v>1154233</v>
      </c>
      <c r="L2">
        <f t="shared" ref="L2" si="0">H2/C2</f>
        <v>26300.111650374827</v>
      </c>
      <c r="P2" t="s">
        <v>1</v>
      </c>
      <c r="Q2" s="10" t="s">
        <v>10</v>
      </c>
      <c r="R2">
        <v>51.545000000000002</v>
      </c>
      <c r="S2">
        <v>514.48800000000006</v>
      </c>
      <c r="T2">
        <v>252</v>
      </c>
      <c r="U2">
        <v>992</v>
      </c>
      <c r="V2">
        <v>26519.269</v>
      </c>
      <c r="W2">
        <v>1004280</v>
      </c>
      <c r="AA2">
        <f t="shared" ref="AA2" si="1">W2/R2</f>
        <v>19483.558056067512</v>
      </c>
    </row>
    <row r="3" spans="1:28" x14ac:dyDescent="0.2">
      <c r="A3" t="s">
        <v>3</v>
      </c>
      <c r="B3" s="11"/>
      <c r="C3">
        <v>43.887</v>
      </c>
      <c r="D3">
        <v>953.82600000000002</v>
      </c>
      <c r="E3">
        <v>359</v>
      </c>
      <c r="F3">
        <v>2777</v>
      </c>
      <c r="G3">
        <v>41860.718999999997</v>
      </c>
      <c r="H3">
        <v>1585258</v>
      </c>
      <c r="M3" s="6">
        <f t="shared" ref="M3" si="2">L2/K4</f>
        <v>1.7443936354724734</v>
      </c>
      <c r="P3" t="s">
        <v>3</v>
      </c>
      <c r="Q3" s="10"/>
      <c r="R3">
        <v>51.545000000000002</v>
      </c>
      <c r="S3">
        <v>236.12700000000001</v>
      </c>
      <c r="T3">
        <v>160</v>
      </c>
      <c r="U3">
        <v>410</v>
      </c>
      <c r="V3">
        <v>12171.142</v>
      </c>
      <c r="W3">
        <v>460919</v>
      </c>
      <c r="AB3" s="5">
        <f t="shared" ref="AB3" si="3">AA2/Z4</f>
        <v>1.4996232279166157</v>
      </c>
    </row>
    <row r="4" spans="1:28" x14ac:dyDescent="0.2">
      <c r="A4" t="s">
        <v>2</v>
      </c>
      <c r="B4" s="11"/>
      <c r="C4">
        <v>55.558999999999997</v>
      </c>
      <c r="D4">
        <v>632.23</v>
      </c>
      <c r="E4">
        <v>208</v>
      </c>
      <c r="F4">
        <v>1336</v>
      </c>
      <c r="G4">
        <v>35125.883999999998</v>
      </c>
      <c r="H4">
        <v>1330211</v>
      </c>
      <c r="I4">
        <f t="shared" ref="I4" si="4">C4-C3</f>
        <v>11.671999999999997</v>
      </c>
      <c r="J4">
        <f t="shared" ref="J4" si="5">H4-H2</f>
        <v>175978</v>
      </c>
      <c r="K4">
        <f t="shared" ref="K4" si="6">J4/I4</f>
        <v>15076.936257710764</v>
      </c>
      <c r="P4" t="s">
        <v>2</v>
      </c>
      <c r="Q4" s="10"/>
      <c r="R4">
        <v>70.900999999999996</v>
      </c>
      <c r="S4">
        <v>467.69400000000002</v>
      </c>
      <c r="T4">
        <v>176</v>
      </c>
      <c r="U4">
        <v>992</v>
      </c>
      <c r="V4">
        <v>33159.885999999999</v>
      </c>
      <c r="W4">
        <v>1255759</v>
      </c>
      <c r="X4">
        <f t="shared" ref="X4" si="7">R4-R3</f>
        <v>19.355999999999995</v>
      </c>
      <c r="Y4">
        <f t="shared" ref="Y4" si="8">W4-W2</f>
        <v>251479</v>
      </c>
      <c r="Z4">
        <f t="shared" ref="Z4" si="9">Y4/X4</f>
        <v>12992.302128538959</v>
      </c>
    </row>
    <row r="5" spans="1:28" x14ac:dyDescent="0.2">
      <c r="A5" t="s">
        <v>1</v>
      </c>
      <c r="B5" s="11" t="s">
        <v>12</v>
      </c>
      <c r="C5">
        <v>10.483000000000001</v>
      </c>
      <c r="D5">
        <v>586.529</v>
      </c>
      <c r="E5">
        <v>362</v>
      </c>
      <c r="F5">
        <v>917</v>
      </c>
      <c r="G5">
        <v>6148.7479999999996</v>
      </c>
      <c r="H5">
        <v>232852</v>
      </c>
      <c r="L5">
        <f t="shared" ref="L5" si="10">H5/C5</f>
        <v>22212.343794715252</v>
      </c>
      <c r="P5" t="s">
        <v>1</v>
      </c>
      <c r="Q5" s="10" t="s">
        <v>10</v>
      </c>
      <c r="R5">
        <v>37.761000000000003</v>
      </c>
      <c r="S5">
        <v>401.42899999999997</v>
      </c>
      <c r="T5">
        <v>159</v>
      </c>
      <c r="U5">
        <v>924</v>
      </c>
      <c r="V5">
        <v>15158.323</v>
      </c>
      <c r="W5">
        <v>574043</v>
      </c>
      <c r="AA5">
        <f t="shared" ref="AA5" si="11">W5/R5</f>
        <v>15202.007362093163</v>
      </c>
    </row>
    <row r="6" spans="1:28" x14ac:dyDescent="0.2">
      <c r="A6" t="s">
        <v>3</v>
      </c>
      <c r="B6" s="11"/>
      <c r="C6">
        <v>10.483000000000001</v>
      </c>
      <c r="D6">
        <v>1673.816</v>
      </c>
      <c r="E6">
        <v>534</v>
      </c>
      <c r="F6">
        <v>3132</v>
      </c>
      <c r="G6">
        <v>17547.084999999999</v>
      </c>
      <c r="H6">
        <v>664505</v>
      </c>
      <c r="M6" s="6">
        <f t="shared" ref="M6" si="12">L5/K7</f>
        <v>0.97060607039465507</v>
      </c>
      <c r="P6" t="s">
        <v>3</v>
      </c>
      <c r="Q6" s="10"/>
      <c r="R6">
        <v>37.761000000000003</v>
      </c>
      <c r="S6">
        <v>234.57499999999999</v>
      </c>
      <c r="T6">
        <v>146</v>
      </c>
      <c r="U6">
        <v>363</v>
      </c>
      <c r="V6">
        <v>8857.7649999999994</v>
      </c>
      <c r="W6">
        <v>335442</v>
      </c>
      <c r="AB6" s="5">
        <f t="shared" ref="AB6" si="13">AA5/Z7</f>
        <v>2.1628494481344216</v>
      </c>
    </row>
    <row r="7" spans="1:28" x14ac:dyDescent="0.2">
      <c r="A7" t="s">
        <v>2</v>
      </c>
      <c r="B7" s="11"/>
      <c r="C7">
        <v>19.224</v>
      </c>
      <c r="D7">
        <v>594.62900000000002</v>
      </c>
      <c r="E7">
        <v>344</v>
      </c>
      <c r="F7">
        <v>917</v>
      </c>
      <c r="G7">
        <v>11431.002</v>
      </c>
      <c r="H7">
        <v>432890</v>
      </c>
      <c r="I7">
        <f t="shared" ref="I7" si="14">C7-C6</f>
        <v>8.7409999999999997</v>
      </c>
      <c r="J7">
        <f t="shared" ref="J7" si="15">H7-H5</f>
        <v>200038</v>
      </c>
      <c r="K7">
        <f t="shared" ref="K7" si="16">J7/I7</f>
        <v>22885.024596728064</v>
      </c>
      <c r="P7" t="s">
        <v>2</v>
      </c>
      <c r="Q7" s="10"/>
      <c r="R7">
        <v>51.491999999999997</v>
      </c>
      <c r="S7">
        <v>343.87400000000002</v>
      </c>
      <c r="T7">
        <v>134</v>
      </c>
      <c r="U7">
        <v>924</v>
      </c>
      <c r="V7">
        <v>17706.816999999999</v>
      </c>
      <c r="W7">
        <v>670554</v>
      </c>
      <c r="X7">
        <f t="shared" ref="X7" si="17">R7-R6</f>
        <v>13.730999999999995</v>
      </c>
      <c r="Y7">
        <f t="shared" ref="Y7" si="18">W7-W5</f>
        <v>96511</v>
      </c>
      <c r="Z7">
        <f t="shared" ref="Z7" si="19">Y7/X7</f>
        <v>7028.6941956157625</v>
      </c>
    </row>
    <row r="8" spans="1:28" x14ac:dyDescent="0.2">
      <c r="A8" t="s">
        <v>1</v>
      </c>
      <c r="B8" s="11" t="s">
        <v>12</v>
      </c>
      <c r="C8">
        <v>36.387999999999998</v>
      </c>
      <c r="D8">
        <v>768.03399999999999</v>
      </c>
      <c r="E8">
        <v>457</v>
      </c>
      <c r="F8">
        <v>1246</v>
      </c>
      <c r="G8">
        <v>27947.080999999998</v>
      </c>
      <c r="H8">
        <v>1058351</v>
      </c>
      <c r="L8">
        <f t="shared" ref="L8" si="20">H8/C8</f>
        <v>29085.165439155768</v>
      </c>
      <c r="P8" t="s">
        <v>1</v>
      </c>
      <c r="Q8" s="10" t="s">
        <v>10</v>
      </c>
      <c r="R8">
        <v>28.651</v>
      </c>
      <c r="S8">
        <v>582.726</v>
      </c>
      <c r="T8">
        <v>239</v>
      </c>
      <c r="U8">
        <v>1472</v>
      </c>
      <c r="V8">
        <v>16695.562999999998</v>
      </c>
      <c r="W8">
        <v>632258</v>
      </c>
      <c r="AA8">
        <f t="shared" ref="AA8" si="21">W8/R8</f>
        <v>22067.571812502181</v>
      </c>
    </row>
    <row r="9" spans="1:28" x14ac:dyDescent="0.2">
      <c r="A9" t="s">
        <v>3</v>
      </c>
      <c r="B9" s="11"/>
      <c r="C9">
        <v>36.387999999999998</v>
      </c>
      <c r="D9">
        <v>1500.396</v>
      </c>
      <c r="E9">
        <v>440</v>
      </c>
      <c r="F9">
        <v>3356</v>
      </c>
      <c r="G9">
        <v>54596.11</v>
      </c>
      <c r="H9">
        <v>2067545</v>
      </c>
      <c r="M9" s="6">
        <f t="shared" ref="M9" si="22">L8/K10</f>
        <v>1.1652804874599971</v>
      </c>
      <c r="P9" t="s">
        <v>3</v>
      </c>
      <c r="Q9" s="10"/>
      <c r="R9">
        <v>28.651</v>
      </c>
      <c r="S9">
        <v>295.40600000000001</v>
      </c>
      <c r="T9">
        <v>169</v>
      </c>
      <c r="U9">
        <v>442</v>
      </c>
      <c r="V9">
        <v>8463.6260000000002</v>
      </c>
      <c r="W9">
        <v>320516</v>
      </c>
      <c r="AB9" s="5">
        <f t="shared" ref="AB9" si="23">AA8/Z10</f>
        <v>1.5453695168524491</v>
      </c>
    </row>
    <row r="10" spans="1:28" x14ac:dyDescent="0.2">
      <c r="A10" t="s">
        <v>2</v>
      </c>
      <c r="B10" s="11"/>
      <c r="C10">
        <v>54.396999999999998</v>
      </c>
      <c r="D10">
        <v>731.96699999999998</v>
      </c>
      <c r="E10">
        <v>352</v>
      </c>
      <c r="F10">
        <v>1246</v>
      </c>
      <c r="G10">
        <v>39816.716999999997</v>
      </c>
      <c r="H10">
        <v>1507852</v>
      </c>
      <c r="I10">
        <f t="shared" ref="I10" si="24">C10-C9</f>
        <v>18.009</v>
      </c>
      <c r="J10">
        <f t="shared" ref="J10" si="25">H10-H8</f>
        <v>449501</v>
      </c>
      <c r="K10">
        <f t="shared" ref="K10" si="26">J10/I10</f>
        <v>24959.797878838359</v>
      </c>
      <c r="P10" t="s">
        <v>2</v>
      </c>
      <c r="Q10" s="10"/>
      <c r="R10">
        <v>40.613</v>
      </c>
      <c r="S10">
        <v>522.154</v>
      </c>
      <c r="T10">
        <v>168</v>
      </c>
      <c r="U10">
        <v>1472</v>
      </c>
      <c r="V10">
        <v>21206.146000000001</v>
      </c>
      <c r="W10">
        <v>803073</v>
      </c>
      <c r="X10">
        <f t="shared" ref="X10" si="27">R10-R9</f>
        <v>11.962</v>
      </c>
      <c r="Y10">
        <f t="shared" ref="Y10" si="28">W10-W8</f>
        <v>170815</v>
      </c>
      <c r="Z10">
        <f t="shared" ref="Z10" si="29">Y10/X10</f>
        <v>14279.802708577161</v>
      </c>
    </row>
    <row r="11" spans="1:28" x14ac:dyDescent="0.2">
      <c r="A11" t="s">
        <v>1</v>
      </c>
      <c r="B11" s="11" t="s">
        <v>12</v>
      </c>
      <c r="C11">
        <v>15.263</v>
      </c>
      <c r="D11">
        <v>388.202</v>
      </c>
      <c r="E11">
        <v>221</v>
      </c>
      <c r="F11">
        <v>643</v>
      </c>
      <c r="G11">
        <v>5925.0609999999997</v>
      </c>
      <c r="H11">
        <v>224381</v>
      </c>
      <c r="L11">
        <f t="shared" ref="L11" si="30">H11/C11</f>
        <v>14700.976216995348</v>
      </c>
      <c r="P11" t="s">
        <v>1</v>
      </c>
      <c r="Q11" s="10" t="s">
        <v>10</v>
      </c>
      <c r="R11">
        <v>57.353999999999999</v>
      </c>
      <c r="S11">
        <v>1001.499</v>
      </c>
      <c r="T11">
        <v>506</v>
      </c>
      <c r="U11">
        <v>2058</v>
      </c>
      <c r="V11">
        <v>57440.326999999997</v>
      </c>
      <c r="W11">
        <v>2175255</v>
      </c>
      <c r="AA11">
        <f t="shared" ref="AA11" si="31">W11/R11</f>
        <v>37926.82288942358</v>
      </c>
    </row>
    <row r="12" spans="1:28" x14ac:dyDescent="0.2">
      <c r="A12" t="s">
        <v>3</v>
      </c>
      <c r="B12" s="11"/>
      <c r="C12">
        <v>15.263</v>
      </c>
      <c r="D12">
        <v>1240.114</v>
      </c>
      <c r="E12">
        <v>559</v>
      </c>
      <c r="F12">
        <v>2112</v>
      </c>
      <c r="G12">
        <v>18927.63</v>
      </c>
      <c r="H12">
        <v>716786</v>
      </c>
      <c r="M12" s="6">
        <f t="shared" ref="M12" si="32">L11/K13</f>
        <v>1.1704611005354928</v>
      </c>
      <c r="P12" t="s">
        <v>3</v>
      </c>
      <c r="Q12" s="10"/>
      <c r="R12">
        <v>57.353999999999999</v>
      </c>
      <c r="S12">
        <v>425.81799999999998</v>
      </c>
      <c r="T12">
        <v>277</v>
      </c>
      <c r="U12">
        <v>662</v>
      </c>
      <c r="V12">
        <v>24422.532999999999</v>
      </c>
      <c r="W12">
        <v>924877</v>
      </c>
      <c r="AB12" s="5">
        <f t="shared" ref="AB12" si="33">AA11/Z13</f>
        <v>1.5765465446839257</v>
      </c>
    </row>
    <row r="13" spans="1:28" x14ac:dyDescent="0.2">
      <c r="A13" t="s">
        <v>2</v>
      </c>
      <c r="B13" s="11"/>
      <c r="C13">
        <v>30.658000000000001</v>
      </c>
      <c r="D13">
        <v>359.81200000000001</v>
      </c>
      <c r="E13">
        <v>170</v>
      </c>
      <c r="F13">
        <v>643</v>
      </c>
      <c r="G13">
        <v>11031</v>
      </c>
      <c r="H13">
        <v>417742</v>
      </c>
      <c r="I13">
        <f t="shared" ref="I13" si="34">C13-C12</f>
        <v>15.395000000000001</v>
      </c>
      <c r="J13">
        <f t="shared" ref="J13" si="35">H13-H11</f>
        <v>193361</v>
      </c>
      <c r="K13">
        <f t="shared" ref="K13" si="36">J13/I13</f>
        <v>12559.98700876908</v>
      </c>
      <c r="P13" t="s">
        <v>2</v>
      </c>
      <c r="Q13" s="10"/>
      <c r="R13">
        <v>98.918000000000006</v>
      </c>
      <c r="S13">
        <v>847.61199999999997</v>
      </c>
      <c r="T13">
        <v>230</v>
      </c>
      <c r="U13">
        <v>2058</v>
      </c>
      <c r="V13">
        <v>83843.963000000003</v>
      </c>
      <c r="W13">
        <v>3175156</v>
      </c>
      <c r="X13">
        <f t="shared" ref="X13" si="37">R13-R12</f>
        <v>41.564000000000007</v>
      </c>
      <c r="Y13">
        <f t="shared" ref="Y13" si="38">W13-W11</f>
        <v>999901</v>
      </c>
      <c r="Z13">
        <f t="shared" ref="Z13" si="39">Y13/X13</f>
        <v>24056.900202097964</v>
      </c>
    </row>
    <row r="14" spans="1:28" x14ac:dyDescent="0.2">
      <c r="A14" t="s">
        <v>1</v>
      </c>
      <c r="B14" s="11" t="s">
        <v>12</v>
      </c>
      <c r="C14">
        <v>47.69</v>
      </c>
      <c r="D14">
        <v>469.73399999999998</v>
      </c>
      <c r="E14">
        <v>188</v>
      </c>
      <c r="F14">
        <v>862</v>
      </c>
      <c r="G14">
        <v>22401.477999999999</v>
      </c>
      <c r="H14">
        <v>848340</v>
      </c>
      <c r="L14">
        <f t="shared" ref="L14" si="40">H14/C14</f>
        <v>17788.634933948419</v>
      </c>
      <c r="P14" t="s">
        <v>1</v>
      </c>
      <c r="Q14" s="10" t="s">
        <v>10</v>
      </c>
      <c r="R14">
        <v>25.984000000000002</v>
      </c>
      <c r="S14">
        <v>574.71299999999997</v>
      </c>
      <c r="T14">
        <v>235</v>
      </c>
      <c r="U14">
        <v>1296</v>
      </c>
      <c r="V14">
        <v>14933.21</v>
      </c>
      <c r="W14">
        <v>565518</v>
      </c>
      <c r="AA14">
        <f t="shared" ref="AA14" si="41">W14/R14</f>
        <v>21764.085591133004</v>
      </c>
    </row>
    <row r="15" spans="1:28" x14ac:dyDescent="0.2">
      <c r="A15" t="s">
        <v>3</v>
      </c>
      <c r="B15" s="11"/>
      <c r="C15">
        <v>47.69</v>
      </c>
      <c r="D15">
        <v>1132.7860000000001</v>
      </c>
      <c r="E15">
        <v>423</v>
      </c>
      <c r="F15">
        <v>2256</v>
      </c>
      <c r="G15">
        <v>54022.197</v>
      </c>
      <c r="H15">
        <v>2045811</v>
      </c>
      <c r="M15" s="6">
        <f t="shared" ref="M15" si="42">L14/K16</f>
        <v>1.0790273703617785</v>
      </c>
      <c r="P15" t="s">
        <v>3</v>
      </c>
      <c r="Q15" s="10"/>
      <c r="R15">
        <v>25.984000000000002</v>
      </c>
      <c r="S15">
        <v>346.08600000000001</v>
      </c>
      <c r="T15">
        <v>216</v>
      </c>
      <c r="U15">
        <v>497</v>
      </c>
      <c r="V15">
        <v>8992.6219999999994</v>
      </c>
      <c r="W15">
        <v>340549</v>
      </c>
      <c r="AB15" s="5">
        <f t="shared" ref="AB15" si="43">AA14/Z16</f>
        <v>1.3743516343553059</v>
      </c>
    </row>
    <row r="16" spans="1:28" x14ac:dyDescent="0.2">
      <c r="A16" t="s">
        <v>2</v>
      </c>
      <c r="B16" s="11"/>
      <c r="C16">
        <v>65.936000000000007</v>
      </c>
      <c r="D16">
        <v>460.20800000000003</v>
      </c>
      <c r="E16">
        <v>230</v>
      </c>
      <c r="F16">
        <v>862</v>
      </c>
      <c r="G16">
        <v>30344.477999999999</v>
      </c>
      <c r="H16">
        <v>1149140</v>
      </c>
      <c r="I16">
        <f t="shared" ref="I16" si="44">C16-C15</f>
        <v>18.246000000000009</v>
      </c>
      <c r="J16">
        <f t="shared" ref="J16" si="45">H16-H14</f>
        <v>300800</v>
      </c>
      <c r="K16">
        <f t="shared" ref="K16" si="46">J16/I16</f>
        <v>16485.805107968863</v>
      </c>
      <c r="P16" t="s">
        <v>2</v>
      </c>
      <c r="Q16" s="10"/>
      <c r="R16">
        <v>35.49</v>
      </c>
      <c r="S16">
        <v>532.77800000000002</v>
      </c>
      <c r="T16">
        <v>235</v>
      </c>
      <c r="U16">
        <v>1296</v>
      </c>
      <c r="V16">
        <v>18908.300999999999</v>
      </c>
      <c r="W16">
        <v>716054</v>
      </c>
      <c r="X16">
        <f t="shared" ref="X16" si="47">R16-R15</f>
        <v>9.5060000000000002</v>
      </c>
      <c r="Y16">
        <f t="shared" ref="Y16" si="48">W16-W14</f>
        <v>150536</v>
      </c>
      <c r="Z16">
        <f t="shared" ref="Z16" si="49">Y16/X16</f>
        <v>15835.893120134651</v>
      </c>
    </row>
    <row r="17" spans="1:28" x14ac:dyDescent="0.2">
      <c r="A17" t="s">
        <v>1</v>
      </c>
      <c r="B17" s="11" t="s">
        <v>12</v>
      </c>
      <c r="C17">
        <v>28.518999999999998</v>
      </c>
      <c r="D17">
        <v>502.98099999999999</v>
      </c>
      <c r="E17">
        <v>252</v>
      </c>
      <c r="F17">
        <v>1107</v>
      </c>
      <c r="G17">
        <v>14344.403</v>
      </c>
      <c r="H17">
        <v>543220</v>
      </c>
      <c r="L17">
        <f t="shared" ref="L17" si="50">H17/C17</f>
        <v>19047.652442231494</v>
      </c>
      <c r="P17" t="s">
        <v>1</v>
      </c>
      <c r="Q17" s="10" t="s">
        <v>10</v>
      </c>
      <c r="R17">
        <v>29.126000000000001</v>
      </c>
      <c r="S17">
        <v>483.98200000000003</v>
      </c>
      <c r="T17">
        <v>173</v>
      </c>
      <c r="U17">
        <v>1147</v>
      </c>
      <c r="V17">
        <v>14096.501</v>
      </c>
      <c r="W17">
        <v>533832</v>
      </c>
      <c r="AA17">
        <f t="shared" ref="AA17" si="51">W17/R17</f>
        <v>18328.366408020323</v>
      </c>
    </row>
    <row r="18" spans="1:28" x14ac:dyDescent="0.2">
      <c r="A18" t="s">
        <v>3</v>
      </c>
      <c r="B18" s="11"/>
      <c r="C18">
        <v>28.518999999999998</v>
      </c>
      <c r="D18">
        <v>453.29399999999998</v>
      </c>
      <c r="E18">
        <v>216</v>
      </c>
      <c r="F18">
        <v>1352</v>
      </c>
      <c r="G18">
        <v>12927.365</v>
      </c>
      <c r="H18">
        <v>489557</v>
      </c>
      <c r="M18" s="6">
        <f t="shared" ref="M18" si="52">L17/K19</f>
        <v>1.1719006290387828</v>
      </c>
      <c r="P18" t="s">
        <v>3</v>
      </c>
      <c r="Q18" s="10"/>
      <c r="R18">
        <v>29.126000000000001</v>
      </c>
      <c r="S18">
        <v>327.86599999999999</v>
      </c>
      <c r="T18">
        <v>175</v>
      </c>
      <c r="U18">
        <v>602</v>
      </c>
      <c r="V18">
        <v>9549.4509999999991</v>
      </c>
      <c r="W18">
        <v>361636</v>
      </c>
      <c r="AB18" s="5">
        <f t="shared" ref="AB18" si="53">AA17/Z19</f>
        <v>1.9113565171201652</v>
      </c>
    </row>
    <row r="19" spans="1:28" x14ac:dyDescent="0.2">
      <c r="A19" t="s">
        <v>2</v>
      </c>
      <c r="B19" s="11"/>
      <c r="C19">
        <v>23.713000000000001</v>
      </c>
      <c r="D19">
        <v>517.93399999999997</v>
      </c>
      <c r="E19">
        <v>273</v>
      </c>
      <c r="F19">
        <v>1107</v>
      </c>
      <c r="G19">
        <v>12281.679</v>
      </c>
      <c r="H19">
        <v>465105</v>
      </c>
      <c r="I19">
        <f t="shared" ref="I19" si="54">C19-C18</f>
        <v>-4.8059999999999974</v>
      </c>
      <c r="J19">
        <f t="shared" ref="J19" si="55">H19-H17</f>
        <v>-78115</v>
      </c>
      <c r="K19">
        <f t="shared" ref="K19" si="56">J19/I19</f>
        <v>16253.641281731178</v>
      </c>
      <c r="P19" t="s">
        <v>2</v>
      </c>
      <c r="Q19" s="10"/>
      <c r="R19">
        <v>37.786999999999999</v>
      </c>
      <c r="S19">
        <v>431.08600000000001</v>
      </c>
      <c r="T19">
        <v>126</v>
      </c>
      <c r="U19">
        <v>1147</v>
      </c>
      <c r="V19">
        <v>16289.593000000001</v>
      </c>
      <c r="W19">
        <v>616884</v>
      </c>
      <c r="X19">
        <f t="shared" ref="X19" si="57">R19-R18</f>
        <v>8.6609999999999978</v>
      </c>
      <c r="Y19">
        <f t="shared" ref="Y19" si="58">W19-W17</f>
        <v>83052</v>
      </c>
      <c r="Z19">
        <f t="shared" ref="Z19" si="59">Y19/X19</f>
        <v>9589.1929338413611</v>
      </c>
    </row>
    <row r="20" spans="1:28" x14ac:dyDescent="0.2">
      <c r="A20" t="s">
        <v>1</v>
      </c>
      <c r="B20" s="11" t="s">
        <v>12</v>
      </c>
      <c r="C20">
        <v>46.158000000000001</v>
      </c>
      <c r="D20">
        <v>644.85799999999995</v>
      </c>
      <c r="E20">
        <v>347</v>
      </c>
      <c r="F20">
        <v>1101</v>
      </c>
      <c r="G20">
        <v>29765.441999999999</v>
      </c>
      <c r="H20">
        <v>1127212</v>
      </c>
      <c r="L20">
        <f t="shared" ref="L20" si="60">H20/C20</f>
        <v>24420.728801074569</v>
      </c>
      <c r="P20" t="s">
        <v>1</v>
      </c>
      <c r="Q20" s="10" t="s">
        <v>10</v>
      </c>
      <c r="R20">
        <v>28.149000000000001</v>
      </c>
      <c r="S20">
        <v>557.12</v>
      </c>
      <c r="T20">
        <v>259</v>
      </c>
      <c r="U20">
        <v>1172</v>
      </c>
      <c r="V20">
        <v>15682.407999999999</v>
      </c>
      <c r="W20">
        <v>593890</v>
      </c>
      <c r="AA20">
        <f t="shared" ref="AA20" si="61">W20/R20</f>
        <v>21098.085189527159</v>
      </c>
    </row>
    <row r="21" spans="1:28" x14ac:dyDescent="0.2">
      <c r="A21" t="s">
        <v>3</v>
      </c>
      <c r="B21" s="11"/>
      <c r="C21">
        <v>46.158000000000001</v>
      </c>
      <c r="D21">
        <v>763.48599999999999</v>
      </c>
      <c r="E21">
        <v>280</v>
      </c>
      <c r="F21">
        <v>1626</v>
      </c>
      <c r="G21">
        <v>35241.067999999999</v>
      </c>
      <c r="H21">
        <v>1334573</v>
      </c>
      <c r="M21" s="6">
        <f t="shared" ref="M21" si="62">L20/K22</f>
        <v>0.9730616725314839</v>
      </c>
      <c r="P21" t="s">
        <v>3</v>
      </c>
      <c r="Q21" s="10"/>
      <c r="R21">
        <v>28.149000000000001</v>
      </c>
      <c r="S21">
        <v>412</v>
      </c>
      <c r="T21">
        <v>234</v>
      </c>
      <c r="U21">
        <v>1225</v>
      </c>
      <c r="V21">
        <v>11597.414000000001</v>
      </c>
      <c r="W21">
        <v>439192</v>
      </c>
      <c r="AB21" s="5">
        <f t="shared" ref="AB21" si="63">AA20/Z22</f>
        <v>1.6664289192594235</v>
      </c>
    </row>
    <row r="22" spans="1:28" x14ac:dyDescent="0.2">
      <c r="A22" t="s">
        <v>2</v>
      </c>
      <c r="B22" s="11"/>
      <c r="C22">
        <v>52.521999999999998</v>
      </c>
      <c r="D22">
        <v>647.02300000000002</v>
      </c>
      <c r="E22">
        <v>310</v>
      </c>
      <c r="F22">
        <v>1101</v>
      </c>
      <c r="G22">
        <v>33982.942999999999</v>
      </c>
      <c r="H22">
        <v>1286928</v>
      </c>
      <c r="I22">
        <f t="shared" ref="I22" si="64">C22-C21</f>
        <v>6.3639999999999972</v>
      </c>
      <c r="J22">
        <f t="shared" ref="J22" si="65">H22-H20</f>
        <v>159716</v>
      </c>
      <c r="K22">
        <f t="shared" ref="K22" si="66">J22/I22</f>
        <v>25096.794468887503</v>
      </c>
      <c r="P22" t="s">
        <v>2</v>
      </c>
      <c r="Q22" s="10"/>
      <c r="R22">
        <v>37.523000000000003</v>
      </c>
      <c r="S22">
        <v>501.45699999999999</v>
      </c>
      <c r="T22">
        <v>195</v>
      </c>
      <c r="U22">
        <v>1172</v>
      </c>
      <c r="V22">
        <v>18816.328000000001</v>
      </c>
      <c r="W22">
        <v>712571</v>
      </c>
      <c r="X22">
        <f t="shared" ref="X22" si="67">R22-R21</f>
        <v>9.3740000000000023</v>
      </c>
      <c r="Y22">
        <f t="shared" ref="Y22" si="68">W22-W20</f>
        <v>118681</v>
      </c>
      <c r="Z22">
        <f t="shared" ref="Z22" si="69">Y22/X22</f>
        <v>12660.657136761251</v>
      </c>
    </row>
    <row r="23" spans="1:28" x14ac:dyDescent="0.2">
      <c r="A23" t="s">
        <v>1</v>
      </c>
      <c r="B23" s="11" t="s">
        <v>12</v>
      </c>
      <c r="C23">
        <v>23.026</v>
      </c>
      <c r="D23">
        <v>494.31099999999998</v>
      </c>
      <c r="E23">
        <v>272</v>
      </c>
      <c r="F23">
        <v>989</v>
      </c>
      <c r="G23">
        <v>11382.124</v>
      </c>
      <c r="H23">
        <v>431039</v>
      </c>
      <c r="L23">
        <f t="shared" ref="L23" si="70">H23/C23</f>
        <v>18719.664726830539</v>
      </c>
      <c r="P23" t="s">
        <v>1</v>
      </c>
      <c r="Q23" s="10" t="s">
        <v>10</v>
      </c>
      <c r="R23">
        <v>21.785</v>
      </c>
      <c r="S23">
        <v>581.07399999999996</v>
      </c>
      <c r="T23">
        <v>200</v>
      </c>
      <c r="U23">
        <v>1234</v>
      </c>
      <c r="V23">
        <v>12658.787</v>
      </c>
      <c r="W23">
        <v>479386</v>
      </c>
      <c r="AA23">
        <f t="shared" ref="AA23" si="71">W23/R23</f>
        <v>22005.324764746387</v>
      </c>
    </row>
    <row r="24" spans="1:28" x14ac:dyDescent="0.2">
      <c r="A24" t="s">
        <v>3</v>
      </c>
      <c r="B24" s="11"/>
      <c r="C24">
        <v>23.026</v>
      </c>
      <c r="D24">
        <v>1138.654</v>
      </c>
      <c r="E24">
        <v>503</v>
      </c>
      <c r="F24">
        <v>2399</v>
      </c>
      <c r="G24">
        <v>26218.923999999999</v>
      </c>
      <c r="H24">
        <v>992906</v>
      </c>
      <c r="M24" s="6">
        <f t="shared" ref="M24" si="72">L23/K25</f>
        <v>1.1894197102548962</v>
      </c>
      <c r="P24" t="s">
        <v>3</v>
      </c>
      <c r="Q24" s="10"/>
      <c r="R24">
        <v>21.785</v>
      </c>
      <c r="S24">
        <v>280.25799999999998</v>
      </c>
      <c r="T24">
        <v>190</v>
      </c>
      <c r="U24">
        <v>427</v>
      </c>
      <c r="V24">
        <v>6105.4679999999998</v>
      </c>
      <c r="W24">
        <v>231213</v>
      </c>
      <c r="AB24" s="5">
        <f t="shared" ref="AB24" si="73">AA23/Z25</f>
        <v>1.6000678837149991</v>
      </c>
    </row>
    <row r="25" spans="1:28" x14ac:dyDescent="0.2">
      <c r="A25" t="s">
        <v>2</v>
      </c>
      <c r="B25" s="11"/>
      <c r="C25">
        <v>27.542000000000002</v>
      </c>
      <c r="D25">
        <v>481.41300000000001</v>
      </c>
      <c r="E25">
        <v>262</v>
      </c>
      <c r="F25">
        <v>989</v>
      </c>
      <c r="G25">
        <v>13258.948</v>
      </c>
      <c r="H25">
        <v>502114</v>
      </c>
      <c r="I25">
        <f t="shared" ref="I25" si="74">C25-C24</f>
        <v>4.5160000000000018</v>
      </c>
      <c r="J25">
        <f t="shared" ref="J25" si="75">H25-H23</f>
        <v>71075</v>
      </c>
      <c r="K25">
        <f t="shared" ref="K25" si="76">J25/I25</f>
        <v>15738.485385296717</v>
      </c>
      <c r="P25" t="s">
        <v>2</v>
      </c>
      <c r="Q25" s="10"/>
      <c r="R25">
        <v>31.713999999999999</v>
      </c>
      <c r="S25">
        <v>512.85299999999995</v>
      </c>
      <c r="T25">
        <v>162</v>
      </c>
      <c r="U25">
        <v>1234</v>
      </c>
      <c r="V25">
        <v>16264.585999999999</v>
      </c>
      <c r="W25">
        <v>615937</v>
      </c>
      <c r="X25">
        <f t="shared" ref="X25" si="77">R25-R24</f>
        <v>9.9289999999999985</v>
      </c>
      <c r="Y25">
        <f t="shared" ref="Y25" si="78">W25-W23</f>
        <v>136551</v>
      </c>
      <c r="Z25">
        <f t="shared" ref="Z25" si="79">Y25/X25</f>
        <v>13752.744485849535</v>
      </c>
    </row>
    <row r="26" spans="1:28" x14ac:dyDescent="0.2">
      <c r="A26" t="s">
        <v>1</v>
      </c>
      <c r="B26" s="11" t="s">
        <v>12</v>
      </c>
      <c r="C26">
        <v>27.991</v>
      </c>
      <c r="D26">
        <v>488.66899999999998</v>
      </c>
      <c r="E26">
        <v>200</v>
      </c>
      <c r="F26">
        <v>858</v>
      </c>
      <c r="G26">
        <v>13678.147000000001</v>
      </c>
      <c r="H26">
        <v>517989</v>
      </c>
      <c r="L26">
        <f t="shared" ref="L26" si="80">H26/C26</f>
        <v>18505.555357079062</v>
      </c>
      <c r="P26" t="s">
        <v>1</v>
      </c>
      <c r="Q26" s="10" t="s">
        <v>10</v>
      </c>
      <c r="R26">
        <v>48.429000000000002</v>
      </c>
      <c r="S26">
        <v>687.91899999999998</v>
      </c>
      <c r="T26">
        <v>400</v>
      </c>
      <c r="U26">
        <v>1112</v>
      </c>
      <c r="V26">
        <v>33315.26</v>
      </c>
      <c r="W26">
        <v>1261643</v>
      </c>
      <c r="AA26">
        <f t="shared" ref="AA26" si="81">W26/R26</f>
        <v>26051.394825414522</v>
      </c>
    </row>
    <row r="27" spans="1:28" x14ac:dyDescent="0.2">
      <c r="A27" t="s">
        <v>3</v>
      </c>
      <c r="B27" s="11"/>
      <c r="C27">
        <v>27.991</v>
      </c>
      <c r="D27">
        <v>567.94600000000003</v>
      </c>
      <c r="E27">
        <v>284</v>
      </c>
      <c r="F27">
        <v>1124</v>
      </c>
      <c r="G27">
        <v>15897.17</v>
      </c>
      <c r="H27">
        <v>602023</v>
      </c>
      <c r="M27" s="6">
        <f t="shared" ref="M27" si="82">L26/K28</f>
        <v>1.1210970754252321</v>
      </c>
      <c r="P27" t="s">
        <v>3</v>
      </c>
      <c r="Q27" s="10"/>
      <c r="R27">
        <v>48.429000000000002</v>
      </c>
      <c r="S27">
        <v>338.06299999999999</v>
      </c>
      <c r="T27">
        <v>218</v>
      </c>
      <c r="U27">
        <v>572</v>
      </c>
      <c r="V27">
        <v>16372.06</v>
      </c>
      <c r="W27">
        <v>620007</v>
      </c>
      <c r="AB27" s="5">
        <f t="shared" ref="AB27" si="83">AA26/Z28</f>
        <v>1.5476427100358285</v>
      </c>
    </row>
    <row r="28" spans="1:28" x14ac:dyDescent="0.2">
      <c r="A28" t="s">
        <v>2</v>
      </c>
      <c r="B28" s="11"/>
      <c r="C28">
        <v>49.274000000000001</v>
      </c>
      <c r="D28">
        <v>465.863</v>
      </c>
      <c r="E28">
        <v>199</v>
      </c>
      <c r="F28">
        <v>858</v>
      </c>
      <c r="G28">
        <v>22954.953000000001</v>
      </c>
      <c r="H28">
        <v>869300</v>
      </c>
      <c r="I28">
        <f t="shared" ref="I28" si="84">C28-C27</f>
        <v>21.283000000000001</v>
      </c>
      <c r="J28">
        <f t="shared" ref="J28" si="85">H28-H26</f>
        <v>351311</v>
      </c>
      <c r="K28">
        <f t="shared" ref="K28" si="86">J28/I28</f>
        <v>16506.64849880186</v>
      </c>
      <c r="P28" t="s">
        <v>2</v>
      </c>
      <c r="Q28" s="10"/>
      <c r="R28">
        <v>54.978000000000002</v>
      </c>
      <c r="S28">
        <v>658.92499999999995</v>
      </c>
      <c r="T28">
        <v>383</v>
      </c>
      <c r="U28">
        <v>1112</v>
      </c>
      <c r="V28">
        <v>36226.258999999998</v>
      </c>
      <c r="W28">
        <v>1371882</v>
      </c>
      <c r="X28">
        <f t="shared" ref="X28" si="87">R28-R27</f>
        <v>6.5489999999999995</v>
      </c>
      <c r="Y28">
        <f t="shared" ref="Y28" si="88">W28-W26</f>
        <v>110239</v>
      </c>
      <c r="Z28">
        <f t="shared" ref="Z28" si="89">Y28/X28</f>
        <v>16832.95159566346</v>
      </c>
    </row>
    <row r="29" spans="1:28" x14ac:dyDescent="0.2">
      <c r="A29" t="s">
        <v>1</v>
      </c>
      <c r="B29" s="11" t="s">
        <v>12</v>
      </c>
      <c r="C29">
        <v>16.873999999999999</v>
      </c>
      <c r="D29">
        <v>508.51600000000002</v>
      </c>
      <c r="E29">
        <v>299</v>
      </c>
      <c r="F29">
        <v>755</v>
      </c>
      <c r="G29">
        <v>8580.5</v>
      </c>
      <c r="H29">
        <v>324942</v>
      </c>
      <c r="L29">
        <f t="shared" ref="L29" si="90">H29/C29</f>
        <v>19256.963375607444</v>
      </c>
      <c r="P29" t="s">
        <v>1</v>
      </c>
      <c r="Q29" s="10" t="s">
        <v>10</v>
      </c>
      <c r="R29">
        <v>32.612000000000002</v>
      </c>
      <c r="S29">
        <v>520.23599999999999</v>
      </c>
      <c r="T29">
        <v>284</v>
      </c>
      <c r="U29">
        <v>938</v>
      </c>
      <c r="V29">
        <v>16965.777999999998</v>
      </c>
      <c r="W29">
        <v>642491</v>
      </c>
      <c r="AA29">
        <f t="shared" ref="AA29" si="91">W29/R29</f>
        <v>19701.060959156137</v>
      </c>
    </row>
    <row r="30" spans="1:28" x14ac:dyDescent="0.2">
      <c r="A30" t="s">
        <v>3</v>
      </c>
      <c r="B30" s="11"/>
      <c r="C30">
        <v>16.873999999999999</v>
      </c>
      <c r="D30">
        <v>588.03</v>
      </c>
      <c r="E30">
        <v>261</v>
      </c>
      <c r="F30">
        <v>1166</v>
      </c>
      <c r="G30">
        <v>9922.1749999999993</v>
      </c>
      <c r="H30">
        <v>375751</v>
      </c>
      <c r="M30" s="6">
        <f t="shared" ref="M30" si="92">L29/K31</f>
        <v>0.94247429030370222</v>
      </c>
      <c r="P30" t="s">
        <v>3</v>
      </c>
      <c r="Q30" s="10"/>
      <c r="R30">
        <v>32.612000000000002</v>
      </c>
      <c r="S30">
        <v>303.85199999999998</v>
      </c>
      <c r="T30">
        <v>204</v>
      </c>
      <c r="U30">
        <v>440</v>
      </c>
      <c r="V30">
        <v>9909.1299999999992</v>
      </c>
      <c r="W30">
        <v>375257</v>
      </c>
      <c r="AB30" s="5">
        <f t="shared" ref="AB30" si="93">AA29/Z31</f>
        <v>1.9011505302133072</v>
      </c>
    </row>
    <row r="31" spans="1:28" x14ac:dyDescent="0.2">
      <c r="A31" t="s">
        <v>2</v>
      </c>
      <c r="B31" s="11"/>
      <c r="C31">
        <v>21.071999999999999</v>
      </c>
      <c r="D31">
        <v>514.68299999999999</v>
      </c>
      <c r="E31">
        <v>299</v>
      </c>
      <c r="F31">
        <v>813</v>
      </c>
      <c r="G31">
        <v>10845.495999999999</v>
      </c>
      <c r="H31">
        <v>410717</v>
      </c>
      <c r="I31">
        <f t="shared" ref="I31" si="94">C31-C30</f>
        <v>4.1980000000000004</v>
      </c>
      <c r="J31">
        <f t="shared" ref="J31" si="95">H31-H29</f>
        <v>85775</v>
      </c>
      <c r="K31">
        <f t="shared" ref="K31" si="96">J31/I31</f>
        <v>20432.348737494041</v>
      </c>
      <c r="P31" t="s">
        <v>2</v>
      </c>
      <c r="Q31" s="10"/>
      <c r="R31">
        <v>44.414999999999999</v>
      </c>
      <c r="S31">
        <v>454.69799999999998</v>
      </c>
      <c r="T31">
        <v>162</v>
      </c>
      <c r="U31">
        <v>938</v>
      </c>
      <c r="V31">
        <v>20195.553</v>
      </c>
      <c r="W31">
        <v>764802</v>
      </c>
      <c r="X31">
        <f t="shared" ref="X31" si="97">R31-R30</f>
        <v>11.802999999999997</v>
      </c>
      <c r="Y31">
        <f t="shared" ref="Y31" si="98">W31-W29</f>
        <v>122311</v>
      </c>
      <c r="Z31">
        <f t="shared" ref="Z31" si="99">Y31/X31</f>
        <v>10362.704397187159</v>
      </c>
    </row>
    <row r="32" spans="1:28" x14ac:dyDescent="0.2">
      <c r="A32" t="s">
        <v>1</v>
      </c>
      <c r="B32" s="11" t="s">
        <v>12</v>
      </c>
      <c r="C32">
        <v>32.954999999999998</v>
      </c>
      <c r="D32">
        <v>537.50800000000004</v>
      </c>
      <c r="E32">
        <v>321</v>
      </c>
      <c r="F32">
        <v>852</v>
      </c>
      <c r="G32">
        <v>17713.577000000001</v>
      </c>
      <c r="H32">
        <v>670810</v>
      </c>
      <c r="L32">
        <f t="shared" ref="L32" si="100">H32/C32</f>
        <v>20355.333029889243</v>
      </c>
      <c r="P32" t="s">
        <v>1</v>
      </c>
      <c r="Q32" s="10" t="s">
        <v>10</v>
      </c>
      <c r="R32">
        <v>24.530999999999999</v>
      </c>
      <c r="S32">
        <v>616.68799999999999</v>
      </c>
      <c r="T32">
        <v>207</v>
      </c>
      <c r="U32">
        <v>1311</v>
      </c>
      <c r="V32">
        <v>15128.22</v>
      </c>
      <c r="W32">
        <v>572903</v>
      </c>
      <c r="AA32">
        <f t="shared" ref="AA32" si="101">W32/R32</f>
        <v>23354.245648363296</v>
      </c>
    </row>
    <row r="33" spans="1:28" x14ac:dyDescent="0.2">
      <c r="A33" t="s">
        <v>3</v>
      </c>
      <c r="B33" s="11"/>
      <c r="C33">
        <v>32.954999999999998</v>
      </c>
      <c r="D33">
        <v>874.31200000000001</v>
      </c>
      <c r="E33">
        <v>437</v>
      </c>
      <c r="F33">
        <v>1445</v>
      </c>
      <c r="G33">
        <v>28812.968000000001</v>
      </c>
      <c r="H33">
        <v>1091142</v>
      </c>
      <c r="M33" s="6">
        <f t="shared" ref="M33" si="102">L32/K34</f>
        <v>1.0855113668508647</v>
      </c>
      <c r="P33" t="s">
        <v>3</v>
      </c>
      <c r="Q33" s="10"/>
      <c r="R33">
        <v>24.530999999999999</v>
      </c>
      <c r="S33">
        <v>318.44900000000001</v>
      </c>
      <c r="T33">
        <v>193</v>
      </c>
      <c r="U33">
        <v>671</v>
      </c>
      <c r="V33">
        <v>7811.9989999999998</v>
      </c>
      <c r="W33">
        <v>295839</v>
      </c>
      <c r="AB33" s="5">
        <f t="shared" ref="AB33" si="103">AA32/Z34</f>
        <v>1.5754571114961986</v>
      </c>
    </row>
    <row r="34" spans="1:28" x14ac:dyDescent="0.2">
      <c r="A34" t="s">
        <v>2</v>
      </c>
      <c r="B34" s="11"/>
      <c r="C34">
        <v>48.191000000000003</v>
      </c>
      <c r="D34">
        <v>524.11699999999996</v>
      </c>
      <c r="E34">
        <v>316</v>
      </c>
      <c r="F34">
        <v>852</v>
      </c>
      <c r="G34">
        <v>25257.920999999998</v>
      </c>
      <c r="H34">
        <v>956513</v>
      </c>
      <c r="I34">
        <f t="shared" ref="I34" si="104">C34-C33</f>
        <v>15.236000000000004</v>
      </c>
      <c r="J34">
        <f t="shared" ref="J34" si="105">H34-H32</f>
        <v>285703</v>
      </c>
      <c r="K34">
        <f t="shared" ref="K34" si="106">J34/I34</f>
        <v>18751.83775269099</v>
      </c>
      <c r="P34" t="s">
        <v>2</v>
      </c>
      <c r="Q34" s="10"/>
      <c r="R34">
        <v>29.945</v>
      </c>
      <c r="S34">
        <v>575.97799999999995</v>
      </c>
      <c r="T34">
        <v>189</v>
      </c>
      <c r="U34">
        <v>1311</v>
      </c>
      <c r="V34">
        <v>17247.48</v>
      </c>
      <c r="W34">
        <v>653159</v>
      </c>
      <c r="X34">
        <f t="shared" ref="X34" si="107">R34-R33</f>
        <v>5.4140000000000015</v>
      </c>
      <c r="Y34">
        <f t="shared" ref="Y34" si="108">W34-W32</f>
        <v>80256</v>
      </c>
      <c r="Z34">
        <f t="shared" ref="Z34" si="109">Y34/X34</f>
        <v>14823.790173623935</v>
      </c>
    </row>
    <row r="35" spans="1:28" x14ac:dyDescent="0.2">
      <c r="A35" t="s">
        <v>1</v>
      </c>
      <c r="B35" s="11" t="s">
        <v>12</v>
      </c>
      <c r="C35">
        <v>39.582999999999998</v>
      </c>
      <c r="D35">
        <v>523.71799999999996</v>
      </c>
      <c r="E35">
        <v>272</v>
      </c>
      <c r="F35">
        <v>866</v>
      </c>
      <c r="G35">
        <v>20730.306</v>
      </c>
      <c r="H35">
        <v>785053</v>
      </c>
      <c r="L35">
        <f t="shared" ref="L35" si="110">H35/C35</f>
        <v>19833.084910188718</v>
      </c>
      <c r="P35" t="s">
        <v>1</v>
      </c>
      <c r="Q35" s="10" t="s">
        <v>10</v>
      </c>
      <c r="R35">
        <v>17.902999999999999</v>
      </c>
      <c r="S35">
        <v>556.79499999999996</v>
      </c>
      <c r="T35">
        <v>259</v>
      </c>
      <c r="U35">
        <v>1107</v>
      </c>
      <c r="V35">
        <v>9968.5439999999999</v>
      </c>
      <c r="W35">
        <v>377507</v>
      </c>
      <c r="AA35">
        <f t="shared" ref="AA35" si="111">W35/R35</f>
        <v>21086.242529185056</v>
      </c>
    </row>
    <row r="36" spans="1:28" x14ac:dyDescent="0.2">
      <c r="A36" t="s">
        <v>3</v>
      </c>
      <c r="B36" s="11"/>
      <c r="C36">
        <v>39.582999999999998</v>
      </c>
      <c r="D36">
        <v>510.23099999999999</v>
      </c>
      <c r="E36">
        <v>209</v>
      </c>
      <c r="F36">
        <v>1009</v>
      </c>
      <c r="G36">
        <v>20196.451000000001</v>
      </c>
      <c r="H36">
        <v>764836</v>
      </c>
      <c r="M36" s="6">
        <f t="shared" ref="M36" si="112">L35/K37</f>
        <v>1.1034409107747167</v>
      </c>
      <c r="P36" t="s">
        <v>3</v>
      </c>
      <c r="Q36" s="10"/>
      <c r="R36">
        <v>17.902999999999999</v>
      </c>
      <c r="S36">
        <v>257.81</v>
      </c>
      <c r="T36">
        <v>177</v>
      </c>
      <c r="U36">
        <v>461</v>
      </c>
      <c r="V36">
        <v>4615.68</v>
      </c>
      <c r="W36">
        <v>174795</v>
      </c>
      <c r="AB36" s="5">
        <f t="shared" ref="AB36" si="113">AA35/Z37</f>
        <v>1.6531757232744024</v>
      </c>
    </row>
    <row r="37" spans="1:28" x14ac:dyDescent="0.2">
      <c r="A37" t="s">
        <v>2</v>
      </c>
      <c r="B37" s="11"/>
      <c r="C37">
        <v>50.33</v>
      </c>
      <c r="D37">
        <v>513.23099999999999</v>
      </c>
      <c r="E37">
        <v>282</v>
      </c>
      <c r="F37">
        <v>866</v>
      </c>
      <c r="G37">
        <v>25831.069</v>
      </c>
      <c r="H37">
        <v>978218</v>
      </c>
      <c r="I37">
        <f t="shared" ref="I37" si="114">C37-C36</f>
        <v>10.747</v>
      </c>
      <c r="J37">
        <f t="shared" ref="J37" si="115">H37-H35</f>
        <v>193165</v>
      </c>
      <c r="K37">
        <f t="shared" ref="K37" si="116">J37/I37</f>
        <v>17973.853168326044</v>
      </c>
      <c r="P37" t="s">
        <v>2</v>
      </c>
      <c r="Q37" s="10"/>
      <c r="R37">
        <v>28.07</v>
      </c>
      <c r="S37">
        <v>477.12799999999999</v>
      </c>
      <c r="T37">
        <v>241</v>
      </c>
      <c r="U37">
        <v>1107</v>
      </c>
      <c r="V37">
        <v>13392.906999999999</v>
      </c>
      <c r="W37">
        <v>507187</v>
      </c>
      <c r="X37">
        <f t="shared" ref="X37" si="117">R37-R36</f>
        <v>10.167000000000002</v>
      </c>
      <c r="Y37">
        <f t="shared" ref="Y37" si="118">W37-W35</f>
        <v>129680</v>
      </c>
      <c r="Z37">
        <f t="shared" ref="Z37" si="119">Y37/X37</f>
        <v>12754.991639618371</v>
      </c>
    </row>
    <row r="38" spans="1:28" x14ac:dyDescent="0.2">
      <c r="A38" t="s">
        <v>1</v>
      </c>
      <c r="B38" s="11" t="s">
        <v>12</v>
      </c>
      <c r="C38">
        <v>38.21</v>
      </c>
      <c r="D38">
        <v>463.51600000000002</v>
      </c>
      <c r="E38">
        <v>254</v>
      </c>
      <c r="F38">
        <v>819</v>
      </c>
      <c r="G38">
        <v>17710.857</v>
      </c>
      <c r="H38">
        <v>670707</v>
      </c>
      <c r="L38">
        <f t="shared" ref="L38" si="120">H38/C38</f>
        <v>17553.179795864955</v>
      </c>
      <c r="P38" t="s">
        <v>1</v>
      </c>
      <c r="Q38" s="10" t="s">
        <v>10</v>
      </c>
      <c r="R38">
        <v>36.942</v>
      </c>
      <c r="S38">
        <v>481.78800000000001</v>
      </c>
      <c r="T38">
        <v>243</v>
      </c>
      <c r="U38">
        <v>728</v>
      </c>
      <c r="V38">
        <v>17798.366999999998</v>
      </c>
      <c r="W38">
        <v>674021</v>
      </c>
      <c r="AA38">
        <f t="shared" ref="AA38" si="121">W38/R38</f>
        <v>18245.384657029939</v>
      </c>
    </row>
    <row r="39" spans="1:28" x14ac:dyDescent="0.2">
      <c r="A39" t="s">
        <v>3</v>
      </c>
      <c r="B39" s="11"/>
      <c r="C39">
        <v>38.21</v>
      </c>
      <c r="D39">
        <v>425.41399999999999</v>
      </c>
      <c r="E39">
        <v>216</v>
      </c>
      <c r="F39">
        <v>850</v>
      </c>
      <c r="G39">
        <v>16255.001</v>
      </c>
      <c r="H39">
        <v>615574</v>
      </c>
      <c r="M39" s="6">
        <f t="shared" ref="M39" si="122">L38/K40</f>
        <v>0.98491218546607107</v>
      </c>
      <c r="P39" t="s">
        <v>3</v>
      </c>
      <c r="Q39" s="10"/>
      <c r="R39">
        <v>36.942</v>
      </c>
      <c r="S39">
        <v>245.20699999999999</v>
      </c>
      <c r="T39">
        <v>155</v>
      </c>
      <c r="U39">
        <v>371</v>
      </c>
      <c r="V39">
        <v>9058.5319999999992</v>
      </c>
      <c r="W39">
        <v>343045</v>
      </c>
      <c r="AB39" s="5">
        <f t="shared" ref="AB39" si="123">AA38/Z40</f>
        <v>1.411821002475365</v>
      </c>
    </row>
    <row r="40" spans="1:28" x14ac:dyDescent="0.2">
      <c r="A40" t="s">
        <v>2</v>
      </c>
      <c r="B40" s="11"/>
      <c r="C40">
        <v>55.531999999999996</v>
      </c>
      <c r="D40">
        <v>465.726</v>
      </c>
      <c r="E40">
        <v>230</v>
      </c>
      <c r="F40">
        <v>819</v>
      </c>
      <c r="G40">
        <v>25862.835999999999</v>
      </c>
      <c r="H40">
        <v>979421</v>
      </c>
      <c r="I40">
        <f t="shared" ref="I40" si="124">C40-C39</f>
        <v>17.321999999999996</v>
      </c>
      <c r="J40">
        <f t="shared" ref="J40" si="125">H40-H38</f>
        <v>308714</v>
      </c>
      <c r="K40">
        <f t="shared" ref="K40" si="126">J40/I40</f>
        <v>17822.07597275142</v>
      </c>
      <c r="P40" t="s">
        <v>2</v>
      </c>
      <c r="Q40" s="10"/>
      <c r="R40">
        <v>55.664000000000001</v>
      </c>
      <c r="S40">
        <v>434.52100000000002</v>
      </c>
      <c r="T40">
        <v>148</v>
      </c>
      <c r="U40">
        <v>698</v>
      </c>
      <c r="V40">
        <v>24187.359</v>
      </c>
      <c r="W40">
        <v>915971</v>
      </c>
      <c r="X40">
        <f t="shared" ref="X40" si="127">R40-R39</f>
        <v>18.722000000000001</v>
      </c>
      <c r="Y40">
        <f t="shared" ref="Y40" si="128">W40-W38</f>
        <v>241950</v>
      </c>
      <c r="Z40">
        <f t="shared" ref="Z40" si="129">Y40/X40</f>
        <v>12923.298792864009</v>
      </c>
    </row>
    <row r="41" spans="1:28" x14ac:dyDescent="0.2">
      <c r="A41" t="s">
        <v>1</v>
      </c>
      <c r="B41" s="11" t="s">
        <v>12</v>
      </c>
      <c r="C41">
        <v>30.05</v>
      </c>
      <c r="D41">
        <v>388.34199999999998</v>
      </c>
      <c r="E41">
        <v>237</v>
      </c>
      <c r="F41">
        <v>741</v>
      </c>
      <c r="G41">
        <v>11669.793</v>
      </c>
      <c r="H41">
        <v>441933</v>
      </c>
      <c r="L41">
        <f t="shared" ref="L41" si="130">H41/C41</f>
        <v>14706.589018302828</v>
      </c>
      <c r="P41" t="s">
        <v>1</v>
      </c>
      <c r="Q41" s="10" t="s">
        <v>10</v>
      </c>
      <c r="R41">
        <v>29.1</v>
      </c>
      <c r="S41">
        <v>448.86200000000002</v>
      </c>
      <c r="T41">
        <v>217</v>
      </c>
      <c r="U41">
        <v>1062</v>
      </c>
      <c r="V41">
        <v>13061.745999999999</v>
      </c>
      <c r="W41">
        <v>494646</v>
      </c>
      <c r="AA41">
        <f t="shared" ref="AA41" si="131">W41/R41</f>
        <v>16998.144329896906</v>
      </c>
    </row>
    <row r="42" spans="1:28" x14ac:dyDescent="0.2">
      <c r="A42" t="s">
        <v>3</v>
      </c>
      <c r="B42" s="11"/>
      <c r="C42">
        <v>30.05</v>
      </c>
      <c r="D42">
        <v>1303.7239999999999</v>
      </c>
      <c r="E42">
        <v>426</v>
      </c>
      <c r="F42">
        <v>3432</v>
      </c>
      <c r="G42">
        <v>39177.315999999999</v>
      </c>
      <c r="H42">
        <v>1483638</v>
      </c>
      <c r="M42" s="6">
        <f t="shared" ref="M42" si="132">L41/K43</f>
        <v>0.98206453943365379</v>
      </c>
      <c r="P42" t="s">
        <v>3</v>
      </c>
      <c r="Q42" s="10"/>
      <c r="R42">
        <v>29.1</v>
      </c>
      <c r="S42">
        <v>244.22</v>
      </c>
      <c r="T42">
        <v>155</v>
      </c>
      <c r="U42">
        <v>367</v>
      </c>
      <c r="V42">
        <v>7106.7139999999999</v>
      </c>
      <c r="W42">
        <v>269130</v>
      </c>
      <c r="AB42" s="5">
        <f t="shared" ref="AB42" si="133">AA41/Z43</f>
        <v>1.3702299513456497</v>
      </c>
    </row>
    <row r="43" spans="1:28" x14ac:dyDescent="0.2">
      <c r="A43" t="s">
        <v>2</v>
      </c>
      <c r="B43" s="11"/>
      <c r="C43">
        <v>49.829000000000001</v>
      </c>
      <c r="D43">
        <v>391.16399999999999</v>
      </c>
      <c r="E43">
        <v>237</v>
      </c>
      <c r="F43">
        <v>741</v>
      </c>
      <c r="G43">
        <v>19491.166000000001</v>
      </c>
      <c r="H43">
        <v>738127</v>
      </c>
      <c r="I43">
        <f t="shared" ref="I43" si="134">C43-C42</f>
        <v>19.779</v>
      </c>
      <c r="J43">
        <f t="shared" ref="J43" si="135">H43-H41</f>
        <v>296194</v>
      </c>
      <c r="K43">
        <f t="shared" ref="K43" si="136">J43/I43</f>
        <v>14975.175691389857</v>
      </c>
      <c r="P43" t="s">
        <v>2</v>
      </c>
      <c r="Q43" s="10"/>
      <c r="R43">
        <v>46.686</v>
      </c>
      <c r="S43">
        <v>403.17099999999999</v>
      </c>
      <c r="T43">
        <v>157</v>
      </c>
      <c r="U43">
        <v>1062</v>
      </c>
      <c r="V43">
        <v>18822.532999999999</v>
      </c>
      <c r="W43">
        <v>712806</v>
      </c>
      <c r="X43">
        <f t="shared" ref="X43" si="137">R43-R42</f>
        <v>17.585999999999999</v>
      </c>
      <c r="Y43">
        <f t="shared" ref="Y43" si="138">W43-W41</f>
        <v>218160</v>
      </c>
      <c r="Z43">
        <f t="shared" ref="Z43" si="139">Y43/X43</f>
        <v>12405.322415557832</v>
      </c>
    </row>
    <row r="44" spans="1:28" x14ac:dyDescent="0.2">
      <c r="A44" t="s">
        <v>1</v>
      </c>
      <c r="B44" s="11" t="s">
        <v>12</v>
      </c>
      <c r="C44">
        <v>38.262999999999998</v>
      </c>
      <c r="D44">
        <v>538.41499999999996</v>
      </c>
      <c r="E44">
        <v>286</v>
      </c>
      <c r="F44">
        <v>869</v>
      </c>
      <c r="G44">
        <v>20601.179</v>
      </c>
      <c r="H44">
        <v>780163</v>
      </c>
      <c r="L44">
        <f t="shared" ref="L44" si="140">H44/C44</f>
        <v>20389.48853984267</v>
      </c>
      <c r="P44" t="s">
        <v>1</v>
      </c>
      <c r="Q44" s="10" t="s">
        <v>10</v>
      </c>
      <c r="R44">
        <v>40.085000000000001</v>
      </c>
      <c r="S44">
        <v>367.31700000000001</v>
      </c>
      <c r="T44">
        <v>185</v>
      </c>
      <c r="U44">
        <v>803</v>
      </c>
      <c r="V44">
        <v>14723.781999999999</v>
      </c>
      <c r="W44">
        <v>557587</v>
      </c>
      <c r="AA44">
        <f t="shared" ref="AA44" si="141">W44/R44</f>
        <v>13910.116003492578</v>
      </c>
    </row>
    <row r="45" spans="1:28" x14ac:dyDescent="0.2">
      <c r="A45" t="s">
        <v>3</v>
      </c>
      <c r="B45" s="11"/>
      <c r="C45">
        <v>38.262999999999998</v>
      </c>
      <c r="D45">
        <v>821.14200000000005</v>
      </c>
      <c r="E45">
        <v>267</v>
      </c>
      <c r="F45">
        <v>2044</v>
      </c>
      <c r="G45">
        <v>31419.08</v>
      </c>
      <c r="H45">
        <v>1189835</v>
      </c>
      <c r="M45" s="6">
        <f t="shared" ref="M45" si="142">L44/K46</f>
        <v>0.97179817466253571</v>
      </c>
      <c r="P45" t="s">
        <v>3</v>
      </c>
      <c r="Q45" s="10"/>
      <c r="R45">
        <v>40.085000000000001</v>
      </c>
      <c r="S45">
        <v>273.113</v>
      </c>
      <c r="T45">
        <v>171</v>
      </c>
      <c r="U45">
        <v>426</v>
      </c>
      <c r="V45">
        <v>10947.662</v>
      </c>
      <c r="W45">
        <v>414586</v>
      </c>
      <c r="AB45" s="5">
        <f t="shared" ref="AB45" si="143">AA44/Z46</f>
        <v>1.7903883209259728</v>
      </c>
    </row>
    <row r="46" spans="1:28" x14ac:dyDescent="0.2">
      <c r="A46" t="s">
        <v>2</v>
      </c>
      <c r="B46" s="11"/>
      <c r="C46">
        <v>61.078000000000003</v>
      </c>
      <c r="D46">
        <v>544.24900000000002</v>
      </c>
      <c r="E46">
        <v>286</v>
      </c>
      <c r="F46">
        <v>963</v>
      </c>
      <c r="G46">
        <v>33241.481</v>
      </c>
      <c r="H46">
        <v>1258849</v>
      </c>
      <c r="I46">
        <f t="shared" ref="I46" si="144">C46-C45</f>
        <v>22.815000000000005</v>
      </c>
      <c r="J46">
        <f t="shared" ref="J46" si="145">H46-H44</f>
        <v>478686</v>
      </c>
      <c r="K46">
        <f t="shared" ref="K46" si="146">J46/I46</f>
        <v>20981.196581196578</v>
      </c>
      <c r="P46" t="s">
        <v>2</v>
      </c>
      <c r="Q46" s="10"/>
      <c r="R46">
        <v>76.869</v>
      </c>
      <c r="S46">
        <v>289.72000000000003</v>
      </c>
      <c r="T46">
        <v>124</v>
      </c>
      <c r="U46">
        <v>803</v>
      </c>
      <c r="V46">
        <v>22270.345000000001</v>
      </c>
      <c r="W46">
        <v>843374</v>
      </c>
      <c r="X46">
        <f t="shared" ref="X46" si="147">R46-R45</f>
        <v>36.783999999999999</v>
      </c>
      <c r="Y46">
        <f t="shared" ref="Y46" si="148">W46-W44</f>
        <v>285787</v>
      </c>
      <c r="Z46">
        <f t="shared" ref="Z46" si="149">Y46/X46</f>
        <v>7769.3290561113527</v>
      </c>
    </row>
    <row r="47" spans="1:28" x14ac:dyDescent="0.2">
      <c r="A47" t="s">
        <v>1</v>
      </c>
      <c r="B47" s="11" t="s">
        <v>12</v>
      </c>
      <c r="C47">
        <v>34.037999999999997</v>
      </c>
      <c r="D47">
        <v>502.93700000000001</v>
      </c>
      <c r="E47">
        <v>284</v>
      </c>
      <c r="F47">
        <v>1060</v>
      </c>
      <c r="G47">
        <v>17118.802</v>
      </c>
      <c r="H47">
        <v>648286</v>
      </c>
      <c r="L47">
        <f t="shared" ref="L47" si="150">H47/C47</f>
        <v>19045.948645631353</v>
      </c>
      <c r="P47" t="s">
        <v>1</v>
      </c>
      <c r="Q47" s="10" t="s">
        <v>10</v>
      </c>
      <c r="R47">
        <v>41.828000000000003</v>
      </c>
      <c r="S47">
        <v>364.32100000000003</v>
      </c>
      <c r="T47">
        <v>178</v>
      </c>
      <c r="U47">
        <v>755</v>
      </c>
      <c r="V47">
        <v>15238.624</v>
      </c>
      <c r="W47">
        <v>577084</v>
      </c>
      <c r="AA47">
        <f t="shared" ref="AA47" si="151">W47/R47</f>
        <v>13796.595581906855</v>
      </c>
    </row>
    <row r="48" spans="1:28" x14ac:dyDescent="0.2">
      <c r="A48" t="s">
        <v>3</v>
      </c>
      <c r="B48" s="11"/>
      <c r="C48">
        <v>34.037999999999997</v>
      </c>
      <c r="D48">
        <v>950.54</v>
      </c>
      <c r="E48">
        <v>289</v>
      </c>
      <c r="F48">
        <v>3174</v>
      </c>
      <c r="G48">
        <v>32354.151999999998</v>
      </c>
      <c r="H48">
        <v>1225246</v>
      </c>
      <c r="M48" s="6">
        <f t="shared" ref="M48" si="152">L47/K49</f>
        <v>0.87708271532599358</v>
      </c>
      <c r="P48" t="s">
        <v>3</v>
      </c>
      <c r="Q48" s="10"/>
      <c r="R48">
        <v>41.828000000000003</v>
      </c>
      <c r="S48">
        <v>265.06700000000001</v>
      </c>
      <c r="T48">
        <v>169</v>
      </c>
      <c r="U48">
        <v>486</v>
      </c>
      <c r="V48">
        <v>11087.087</v>
      </c>
      <c r="W48">
        <v>419866</v>
      </c>
      <c r="AB48" s="5">
        <f t="shared" ref="AB48" si="153">AA47/Z49</f>
        <v>1.7225650535475916</v>
      </c>
    </row>
    <row r="49" spans="1:28" x14ac:dyDescent="0.2">
      <c r="A49" t="s">
        <v>2</v>
      </c>
      <c r="B49" s="11"/>
      <c r="C49">
        <v>61.21</v>
      </c>
      <c r="D49">
        <v>534.22299999999996</v>
      </c>
      <c r="E49">
        <v>284</v>
      </c>
      <c r="F49">
        <v>1060</v>
      </c>
      <c r="G49">
        <v>32699.625</v>
      </c>
      <c r="H49">
        <v>1238329</v>
      </c>
      <c r="I49">
        <f t="shared" ref="I49" si="154">C49-C48</f>
        <v>27.172000000000004</v>
      </c>
      <c r="J49">
        <f t="shared" ref="J49" si="155">H49-H47</f>
        <v>590043</v>
      </c>
      <c r="K49">
        <f t="shared" ref="K49" si="156">J49/I49</f>
        <v>21715.111143824521</v>
      </c>
      <c r="P49" t="s">
        <v>2</v>
      </c>
      <c r="Q49" s="10"/>
      <c r="R49">
        <v>91.656000000000006</v>
      </c>
      <c r="S49">
        <v>281.23700000000002</v>
      </c>
      <c r="T49">
        <v>122</v>
      </c>
      <c r="U49">
        <v>763</v>
      </c>
      <c r="V49">
        <v>25777.067999999999</v>
      </c>
      <c r="W49">
        <v>976173</v>
      </c>
      <c r="X49">
        <f t="shared" ref="X49" si="157">R49-R48</f>
        <v>49.828000000000003</v>
      </c>
      <c r="Y49">
        <f t="shared" ref="Y49" si="158">W49-W47</f>
        <v>399089</v>
      </c>
      <c r="Z49">
        <f t="shared" ref="Z49" si="159">Y49/X49</f>
        <v>8009.3321024323668</v>
      </c>
    </row>
    <row r="50" spans="1:28" x14ac:dyDescent="0.2">
      <c r="A50" t="s">
        <v>1</v>
      </c>
      <c r="B50" s="11" t="s">
        <v>12</v>
      </c>
      <c r="C50">
        <v>37.576000000000001</v>
      </c>
      <c r="D50">
        <v>539.36699999999996</v>
      </c>
      <c r="E50">
        <v>227</v>
      </c>
      <c r="F50">
        <v>994</v>
      </c>
      <c r="G50">
        <v>20267.298999999999</v>
      </c>
      <c r="H50">
        <v>767519</v>
      </c>
      <c r="L50">
        <f t="shared" ref="L50" si="160">H50/C50</f>
        <v>20425.777091760698</v>
      </c>
      <c r="P50" t="s">
        <v>1</v>
      </c>
      <c r="Q50" s="10" t="s">
        <v>10</v>
      </c>
      <c r="R50">
        <v>34.723999999999997</v>
      </c>
      <c r="S50">
        <v>444.34</v>
      </c>
      <c r="T50">
        <v>202</v>
      </c>
      <c r="U50">
        <v>939</v>
      </c>
      <c r="V50">
        <v>15429.357</v>
      </c>
      <c r="W50">
        <v>584307</v>
      </c>
      <c r="AA50">
        <f t="shared" ref="AA50" si="161">W50/R50</f>
        <v>16827.180048381524</v>
      </c>
    </row>
    <row r="51" spans="1:28" x14ac:dyDescent="0.2">
      <c r="A51" t="s">
        <v>3</v>
      </c>
      <c r="B51" s="11"/>
      <c r="C51">
        <v>37.576000000000001</v>
      </c>
      <c r="D51">
        <v>723.92899999999997</v>
      </c>
      <c r="E51">
        <v>223</v>
      </c>
      <c r="F51">
        <v>2222</v>
      </c>
      <c r="G51">
        <v>27202.424999999999</v>
      </c>
      <c r="H51">
        <v>1030151</v>
      </c>
      <c r="M51" s="6">
        <f t="shared" ref="M51" si="162">L50/K52</f>
        <v>0.96868879849956702</v>
      </c>
      <c r="P51" t="s">
        <v>3</v>
      </c>
      <c r="Q51" s="10"/>
      <c r="R51">
        <v>34.723999999999997</v>
      </c>
      <c r="S51">
        <v>255.56299999999999</v>
      </c>
      <c r="T51">
        <v>160</v>
      </c>
      <c r="U51">
        <v>426</v>
      </c>
      <c r="V51">
        <v>8874.2430000000004</v>
      </c>
      <c r="W51">
        <v>336066</v>
      </c>
      <c r="AB51" s="5">
        <f t="shared" ref="AB51" si="163">AA50/Z52</f>
        <v>2.5746985722962541</v>
      </c>
    </row>
    <row r="52" spans="1:28" x14ac:dyDescent="0.2">
      <c r="A52" t="s">
        <v>2</v>
      </c>
      <c r="B52" s="11"/>
      <c r="C52">
        <v>50.145000000000003</v>
      </c>
      <c r="D52">
        <v>543.73299999999995</v>
      </c>
      <c r="E52">
        <v>264</v>
      </c>
      <c r="F52">
        <v>994</v>
      </c>
      <c r="G52">
        <v>27265.746999999999</v>
      </c>
      <c r="H52">
        <v>1032549</v>
      </c>
      <c r="I52">
        <f t="shared" ref="I52" si="164">C52-C51</f>
        <v>12.569000000000003</v>
      </c>
      <c r="J52">
        <f t="shared" ref="J52" si="165">H52-H50</f>
        <v>265030</v>
      </c>
      <c r="K52">
        <f t="shared" ref="K52" si="166">J52/I52</f>
        <v>21086.005251014398</v>
      </c>
      <c r="P52" t="s">
        <v>2</v>
      </c>
      <c r="Q52" s="10"/>
      <c r="R52">
        <v>41.747999999999998</v>
      </c>
      <c r="S52">
        <v>398.61700000000002</v>
      </c>
      <c r="T52">
        <v>162</v>
      </c>
      <c r="U52">
        <v>939</v>
      </c>
      <c r="V52">
        <v>16641.562000000002</v>
      </c>
      <c r="W52">
        <v>630213</v>
      </c>
      <c r="X52">
        <f t="shared" ref="X52" si="167">R52-R51</f>
        <v>7.0240000000000009</v>
      </c>
      <c r="Y52">
        <f t="shared" ref="Y52" si="168">W52-W50</f>
        <v>45906</v>
      </c>
      <c r="Z52">
        <f t="shared" ref="Z52" si="169">Y52/X52</f>
        <v>6535.5922551252843</v>
      </c>
    </row>
    <row r="53" spans="1:28" x14ac:dyDescent="0.2">
      <c r="A53" t="s">
        <v>1</v>
      </c>
      <c r="B53" s="11" t="s">
        <v>12</v>
      </c>
      <c r="C53">
        <v>22.789000000000001</v>
      </c>
      <c r="D53">
        <v>487.05</v>
      </c>
      <c r="E53">
        <v>258</v>
      </c>
      <c r="F53">
        <v>808</v>
      </c>
      <c r="G53">
        <v>11099.181</v>
      </c>
      <c r="H53">
        <v>420324</v>
      </c>
      <c r="L53">
        <f t="shared" ref="L53" si="170">H53/C53</f>
        <v>18444.161656939752</v>
      </c>
      <c r="P53" t="s">
        <v>1</v>
      </c>
      <c r="Q53" s="10" t="s">
        <v>10</v>
      </c>
      <c r="R53">
        <v>32.848999999999997</v>
      </c>
      <c r="S53">
        <v>470.41</v>
      </c>
      <c r="T53">
        <v>233</v>
      </c>
      <c r="U53">
        <v>889</v>
      </c>
      <c r="V53">
        <v>15452.673000000001</v>
      </c>
      <c r="W53">
        <v>585190</v>
      </c>
      <c r="AA53">
        <f t="shared" ref="AA53" si="171">W53/R53</f>
        <v>17814.545343846086</v>
      </c>
    </row>
    <row r="54" spans="1:28" x14ac:dyDescent="0.2">
      <c r="A54" t="s">
        <v>3</v>
      </c>
      <c r="B54" s="11"/>
      <c r="C54">
        <v>22.789000000000001</v>
      </c>
      <c r="D54">
        <v>677.41099999999994</v>
      </c>
      <c r="E54">
        <v>282</v>
      </c>
      <c r="F54">
        <v>1683</v>
      </c>
      <c r="G54">
        <v>15437.252</v>
      </c>
      <c r="H54">
        <v>584606</v>
      </c>
      <c r="M54" s="6">
        <f t="shared" ref="M54" si="172">L53/K55</f>
        <v>1.2407694347143399</v>
      </c>
      <c r="P54" t="s">
        <v>3</v>
      </c>
      <c r="Q54" s="10"/>
      <c r="R54">
        <v>32.848999999999997</v>
      </c>
      <c r="S54">
        <v>253.53899999999999</v>
      </c>
      <c r="T54">
        <v>164</v>
      </c>
      <c r="U54">
        <v>437</v>
      </c>
      <c r="V54">
        <v>8328.5840000000007</v>
      </c>
      <c r="W54">
        <v>315402</v>
      </c>
      <c r="AB54" s="5">
        <f t="shared" ref="AB54" si="173">AA53/Z55</f>
        <v>1.3784105935459048</v>
      </c>
    </row>
    <row r="55" spans="1:28" x14ac:dyDescent="0.2">
      <c r="A55" t="s">
        <v>2</v>
      </c>
      <c r="B55" s="11"/>
      <c r="C55">
        <v>41.298999999999999</v>
      </c>
      <c r="D55">
        <v>444.678</v>
      </c>
      <c r="E55">
        <v>198</v>
      </c>
      <c r="F55">
        <v>808</v>
      </c>
      <c r="G55">
        <v>18364.939999999999</v>
      </c>
      <c r="H55">
        <v>695477</v>
      </c>
      <c r="I55">
        <f t="shared" ref="I55" si="174">C55-C54</f>
        <v>18.509999999999998</v>
      </c>
      <c r="J55">
        <f t="shared" ref="J55" si="175">H55-H53</f>
        <v>275153</v>
      </c>
      <c r="K55">
        <f t="shared" ref="K55" si="176">J55/I55</f>
        <v>14865.099945975151</v>
      </c>
      <c r="P55" t="s">
        <v>2</v>
      </c>
      <c r="Q55" s="10"/>
      <c r="R55">
        <v>50.304000000000002</v>
      </c>
      <c r="S55">
        <v>425.60500000000002</v>
      </c>
      <c r="T55">
        <v>220</v>
      </c>
      <c r="U55">
        <v>889</v>
      </c>
      <c r="V55">
        <v>21409.607</v>
      </c>
      <c r="W55">
        <v>810778</v>
      </c>
      <c r="X55">
        <f t="shared" ref="X55" si="177">R55-R54</f>
        <v>17.455000000000005</v>
      </c>
      <c r="Y55">
        <f t="shared" ref="Y55" si="178">W55-W53</f>
        <v>225588</v>
      </c>
      <c r="Z55">
        <f t="shared" ref="Z55" si="179">Y55/X55</f>
        <v>12923.975938126607</v>
      </c>
    </row>
    <row r="56" spans="1:28" x14ac:dyDescent="0.2">
      <c r="A56" t="s">
        <v>1</v>
      </c>
      <c r="B56" s="11" t="s">
        <v>12</v>
      </c>
      <c r="C56">
        <v>20.623000000000001</v>
      </c>
      <c r="D56">
        <v>582.86699999999996</v>
      </c>
      <c r="E56">
        <v>315</v>
      </c>
      <c r="F56">
        <v>976</v>
      </c>
      <c r="G56">
        <v>12020.627</v>
      </c>
      <c r="H56">
        <v>455219</v>
      </c>
      <c r="L56">
        <f t="shared" ref="L56" si="180">H56/C56</f>
        <v>22073.364689909322</v>
      </c>
      <c r="P56" t="s">
        <v>1</v>
      </c>
      <c r="Q56" s="10" t="s">
        <v>10</v>
      </c>
      <c r="R56">
        <v>35.094000000000001</v>
      </c>
      <c r="S56">
        <v>442.09699999999998</v>
      </c>
      <c r="T56">
        <v>231</v>
      </c>
      <c r="U56">
        <v>801</v>
      </c>
      <c r="V56">
        <v>15514.913</v>
      </c>
      <c r="W56">
        <v>587547</v>
      </c>
      <c r="AA56">
        <f t="shared" ref="AA56" si="181">W56/R56</f>
        <v>16742.092665412889</v>
      </c>
    </row>
    <row r="57" spans="1:28" x14ac:dyDescent="0.2">
      <c r="A57" t="s">
        <v>3</v>
      </c>
      <c r="B57" s="11"/>
      <c r="C57">
        <v>20.623000000000001</v>
      </c>
      <c r="D57">
        <v>1080.4960000000001</v>
      </c>
      <c r="E57">
        <v>362</v>
      </c>
      <c r="F57">
        <v>2368</v>
      </c>
      <c r="G57">
        <v>22283.363000000001</v>
      </c>
      <c r="H57">
        <v>843867</v>
      </c>
      <c r="M57" s="6">
        <f t="shared" ref="M57" si="182">L56/K58</f>
        <v>1.0444708107587943</v>
      </c>
      <c r="P57" t="s">
        <v>3</v>
      </c>
      <c r="Q57" s="10"/>
      <c r="R57">
        <v>35.094000000000001</v>
      </c>
      <c r="S57">
        <v>288.15100000000001</v>
      </c>
      <c r="T57">
        <v>179</v>
      </c>
      <c r="U57">
        <v>456</v>
      </c>
      <c r="V57">
        <v>10112.352999999999</v>
      </c>
      <c r="W57">
        <v>382953</v>
      </c>
      <c r="AB57" s="5">
        <f t="shared" ref="AB57" si="183">AA56/Z58</f>
        <v>1.4775229338658931</v>
      </c>
    </row>
    <row r="58" spans="1:28" x14ac:dyDescent="0.2">
      <c r="A58" t="s">
        <v>2</v>
      </c>
      <c r="B58" s="11"/>
      <c r="C58">
        <v>39.741</v>
      </c>
      <c r="D58">
        <v>570.92999999999995</v>
      </c>
      <c r="E58">
        <v>315</v>
      </c>
      <c r="F58">
        <v>976</v>
      </c>
      <c r="G58">
        <v>22689.57</v>
      </c>
      <c r="H58">
        <v>859250</v>
      </c>
      <c r="I58">
        <f t="shared" ref="I58" si="184">C58-C57</f>
        <v>19.117999999999999</v>
      </c>
      <c r="J58">
        <f t="shared" ref="J58" si="185">H58-H56</f>
        <v>404031</v>
      </c>
      <c r="K58">
        <f t="shared" ref="K58" si="186">J58/I58</f>
        <v>21133.539073124804</v>
      </c>
      <c r="P58" t="s">
        <v>2</v>
      </c>
      <c r="Q58" s="10"/>
      <c r="R58">
        <v>43.491</v>
      </c>
      <c r="S58">
        <v>414.50799999999998</v>
      </c>
      <c r="T58">
        <v>231</v>
      </c>
      <c r="U58">
        <v>764</v>
      </c>
      <c r="V58">
        <v>18027.415000000001</v>
      </c>
      <c r="W58">
        <v>682695</v>
      </c>
      <c r="X58">
        <f t="shared" ref="X58" si="187">R58-R57</f>
        <v>8.3969999999999985</v>
      </c>
      <c r="Y58">
        <f t="shared" ref="Y58" si="188">W58-W56</f>
        <v>95148</v>
      </c>
      <c r="Z58">
        <f t="shared" ref="Z58" si="189">Y58/X58</f>
        <v>11331.189710610935</v>
      </c>
    </row>
    <row r="59" spans="1:28" x14ac:dyDescent="0.2">
      <c r="A59" t="s">
        <v>1</v>
      </c>
      <c r="B59" s="11" t="s">
        <v>12</v>
      </c>
      <c r="C59">
        <v>29.152999999999999</v>
      </c>
      <c r="D59">
        <v>442.90300000000002</v>
      </c>
      <c r="E59">
        <v>172</v>
      </c>
      <c r="F59">
        <v>797</v>
      </c>
      <c r="G59">
        <v>12911.732</v>
      </c>
      <c r="H59">
        <v>488965</v>
      </c>
      <c r="L59">
        <f t="shared" ref="L59" si="190">H59/C59</f>
        <v>16772.373340651047</v>
      </c>
      <c r="P59" t="s">
        <v>1</v>
      </c>
      <c r="Q59" s="10" t="s">
        <v>10</v>
      </c>
      <c r="R59">
        <v>32.216000000000001</v>
      </c>
      <c r="S59">
        <v>349.21699999999998</v>
      </c>
      <c r="T59">
        <v>160</v>
      </c>
      <c r="U59">
        <v>702</v>
      </c>
      <c r="V59">
        <v>11250.251</v>
      </c>
      <c r="W59">
        <v>426045</v>
      </c>
      <c r="AA59">
        <f t="shared" ref="AA59" si="191">W59/R59</f>
        <v>13224.639930469331</v>
      </c>
    </row>
    <row r="60" spans="1:28" x14ac:dyDescent="0.2">
      <c r="A60" t="s">
        <v>3</v>
      </c>
      <c r="B60" s="11"/>
      <c r="C60">
        <v>29.152999999999999</v>
      </c>
      <c r="D60">
        <v>996.91499999999996</v>
      </c>
      <c r="E60">
        <v>295</v>
      </c>
      <c r="F60">
        <v>2364</v>
      </c>
      <c r="G60">
        <v>29062.560000000001</v>
      </c>
      <c r="H60">
        <v>1100594</v>
      </c>
      <c r="M60" s="6">
        <f t="shared" ref="M60" si="192">L59/K61</f>
        <v>0.85118200771265329</v>
      </c>
      <c r="P60" t="s">
        <v>3</v>
      </c>
      <c r="Q60" s="10"/>
      <c r="R60">
        <v>32.216000000000001</v>
      </c>
      <c r="S60">
        <v>241.572</v>
      </c>
      <c r="T60">
        <v>154</v>
      </c>
      <c r="U60">
        <v>335</v>
      </c>
      <c r="V60">
        <v>7782.3969999999999</v>
      </c>
      <c r="W60">
        <v>294718</v>
      </c>
      <c r="AB60" s="5">
        <f t="shared" ref="AB60" si="193">AA59/Z61</f>
        <v>1.6220781427809599</v>
      </c>
    </row>
    <row r="61" spans="1:28" x14ac:dyDescent="0.2">
      <c r="A61" t="s">
        <v>2</v>
      </c>
      <c r="B61" s="11"/>
      <c r="C61">
        <v>54.265000000000001</v>
      </c>
      <c r="D61">
        <v>478.73099999999999</v>
      </c>
      <c r="E61">
        <v>169</v>
      </c>
      <c r="F61">
        <v>928</v>
      </c>
      <c r="G61">
        <v>25978.258000000002</v>
      </c>
      <c r="H61">
        <v>983792</v>
      </c>
      <c r="I61">
        <f t="shared" ref="I61" si="194">C61-C60</f>
        <v>25.112000000000002</v>
      </c>
      <c r="J61">
        <f t="shared" ref="J61" si="195">H61-H59</f>
        <v>494827</v>
      </c>
      <c r="K61">
        <f t="shared" ref="K61" si="196">J61/I61</f>
        <v>19704.802484867792</v>
      </c>
      <c r="P61" t="s">
        <v>2</v>
      </c>
      <c r="Q61" s="10"/>
      <c r="R61">
        <v>36.441000000000003</v>
      </c>
      <c r="S61">
        <v>333.68900000000002</v>
      </c>
      <c r="T61">
        <v>155</v>
      </c>
      <c r="U61">
        <v>702</v>
      </c>
      <c r="V61">
        <v>12159.84</v>
      </c>
      <c r="W61">
        <v>460491</v>
      </c>
      <c r="X61">
        <f t="shared" ref="X61" si="197">R61-R60</f>
        <v>4.2250000000000014</v>
      </c>
      <c r="Y61">
        <f t="shared" ref="Y61" si="198">W61-W59</f>
        <v>34446</v>
      </c>
      <c r="Z61">
        <f t="shared" ref="Z61" si="199">Y61/X61</f>
        <v>8152.8994082840209</v>
      </c>
    </row>
  </sheetData>
  <mergeCells count="40">
    <mergeCell ref="B56:B58"/>
    <mergeCell ref="B59:B61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4:Q46"/>
    <mergeCell ref="Q47:Q49"/>
    <mergeCell ref="Q50:Q52"/>
    <mergeCell ref="Q53:Q55"/>
    <mergeCell ref="Q56:Q58"/>
    <mergeCell ref="Q59:Q61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11A5-B960-FA40-ABB5-092CE7E5084E}">
  <dimension ref="A1:N24"/>
  <sheetViews>
    <sheetView workbookViewId="0">
      <selection activeCell="C7" sqref="C7"/>
    </sheetView>
  </sheetViews>
  <sheetFormatPr baseColWidth="10" defaultRowHeight="16" x14ac:dyDescent="0.2"/>
  <sheetData>
    <row r="1" spans="1:14" s="3" customFormat="1" x14ac:dyDescent="0.2">
      <c r="A1" s="12" t="s">
        <v>45</v>
      </c>
      <c r="B1" s="12"/>
      <c r="C1" s="12"/>
      <c r="D1" s="12"/>
      <c r="F1" s="12" t="s">
        <v>48</v>
      </c>
      <c r="G1" s="12"/>
      <c r="H1" s="12"/>
      <c r="I1" s="12"/>
      <c r="K1" s="12" t="s">
        <v>49</v>
      </c>
      <c r="L1" s="12"/>
      <c r="M1" s="12"/>
      <c r="N1" s="12"/>
    </row>
    <row r="2" spans="1:14" s="3" customFormat="1" x14ac:dyDescent="0.2">
      <c r="A2" s="8" t="s">
        <v>12</v>
      </c>
      <c r="B2" s="9" t="s">
        <v>10</v>
      </c>
      <c r="C2" s="8" t="s">
        <v>46</v>
      </c>
      <c r="D2" s="9" t="s">
        <v>47</v>
      </c>
      <c r="F2" s="8" t="s">
        <v>12</v>
      </c>
      <c r="G2" s="9" t="s">
        <v>10</v>
      </c>
      <c r="H2" s="8" t="s">
        <v>46</v>
      </c>
      <c r="I2" s="9" t="s">
        <v>47</v>
      </c>
      <c r="K2" s="8" t="s">
        <v>12</v>
      </c>
      <c r="L2" s="9" t="s">
        <v>10</v>
      </c>
      <c r="M2" s="8" t="s">
        <v>46</v>
      </c>
      <c r="N2" s="9" t="s">
        <v>47</v>
      </c>
    </row>
    <row r="3" spans="1:14" x14ac:dyDescent="0.2">
      <c r="A3">
        <v>1.0559581580805995</v>
      </c>
      <c r="B3">
        <v>1.4188879037186723</v>
      </c>
      <c r="C3">
        <f>A3/0.96579268</f>
        <v>1.0933590406593261</v>
      </c>
      <c r="D3">
        <f>B3/0.96579268</f>
        <v>1.4691433607869884</v>
      </c>
      <c r="F3">
        <v>1.3423540898896245</v>
      </c>
      <c r="G3">
        <v>1.2311111851362575</v>
      </c>
      <c r="H3">
        <f>F3/1.15586151</f>
        <v>1.1613450904595175</v>
      </c>
      <c r="I3">
        <f>G3/1.15586151</f>
        <v>1.0651026740532761</v>
      </c>
      <c r="K3">
        <v>1.7443936354724734</v>
      </c>
      <c r="L3">
        <v>1.4996232279166157</v>
      </c>
      <c r="M3">
        <f>K3/1.08188215</f>
        <v>1.6123693652515418</v>
      </c>
      <c r="N3">
        <f>L3/1.08188215</f>
        <v>1.3861243832487815</v>
      </c>
    </row>
    <row r="4" spans="1:14" x14ac:dyDescent="0.2">
      <c r="A4">
        <v>0.9664629881204384</v>
      </c>
      <c r="B4">
        <v>0.96819497787208231</v>
      </c>
      <c r="C4">
        <f t="shared" ref="C4:C22" si="0">A4/0.96579268</f>
        <v>1.0006940497006442</v>
      </c>
      <c r="D4">
        <f t="shared" ref="D4:D22" si="1">B4/0.96579268</f>
        <v>1.0024873846342286</v>
      </c>
      <c r="F4">
        <v>1.2896914015246561</v>
      </c>
      <c r="G4">
        <v>1.3499047710980716</v>
      </c>
      <c r="H4">
        <f t="shared" ref="H4:H21" si="2">F4/1.15586151</f>
        <v>1.1157836733612283</v>
      </c>
      <c r="I4">
        <f t="shared" ref="I4:I21" si="3">G4/1.15586151</f>
        <v>1.1678776042106218</v>
      </c>
      <c r="K4">
        <v>0.97060607039465507</v>
      </c>
      <c r="L4">
        <v>2.1628494481344216</v>
      </c>
      <c r="M4">
        <f t="shared" ref="M4:M22" si="4">K4/1.08188215</f>
        <v>0.89714584014040266</v>
      </c>
      <c r="N4">
        <f t="shared" ref="N4:N22" si="5">L4/1.08188215</f>
        <v>1.9991543886128647</v>
      </c>
    </row>
    <row r="5" spans="1:14" x14ac:dyDescent="0.2">
      <c r="A5">
        <v>1.0447343176830091</v>
      </c>
      <c r="B5">
        <v>1.221512697255819</v>
      </c>
      <c r="C5">
        <f t="shared" si="0"/>
        <v>1.0817376641154592</v>
      </c>
      <c r="D5">
        <f t="shared" si="1"/>
        <v>1.2647773404700262</v>
      </c>
      <c r="F5">
        <v>0.96708393888388466</v>
      </c>
      <c r="G5">
        <v>0.99628112635356703</v>
      </c>
      <c r="H5">
        <f t="shared" si="2"/>
        <v>0.83667803669998897</v>
      </c>
      <c r="I5">
        <f t="shared" si="3"/>
        <v>0.86193814547347203</v>
      </c>
      <c r="K5">
        <v>1.1652804874599971</v>
      </c>
      <c r="L5">
        <v>1.5453695168524491</v>
      </c>
      <c r="M5">
        <f t="shared" si="4"/>
        <v>1.0770863420382684</v>
      </c>
      <c r="N5">
        <f t="shared" si="5"/>
        <v>1.4284083685570088</v>
      </c>
    </row>
    <row r="6" spans="1:14" x14ac:dyDescent="0.2">
      <c r="A6">
        <v>0.95059384262209667</v>
      </c>
      <c r="B6">
        <v>1.3389345182460233</v>
      </c>
      <c r="C6">
        <f t="shared" si="0"/>
        <v>0.98426283643203505</v>
      </c>
      <c r="D6">
        <f t="shared" si="1"/>
        <v>1.3863581138821879</v>
      </c>
      <c r="F6">
        <v>0.94788029267307694</v>
      </c>
      <c r="G6">
        <v>1.1970726434125962</v>
      </c>
      <c r="H6">
        <f t="shared" si="2"/>
        <v>0.82006389560724879</v>
      </c>
      <c r="I6">
        <f t="shared" si="3"/>
        <v>1.0356540407791555</v>
      </c>
      <c r="K6">
        <v>1.1704611005354928</v>
      </c>
      <c r="L6">
        <v>1.5765465446839257</v>
      </c>
      <c r="M6">
        <f t="shared" si="4"/>
        <v>1.0818748608945001</v>
      </c>
      <c r="N6">
        <f t="shared" si="5"/>
        <v>1.4572257659338641</v>
      </c>
    </row>
    <row r="7" spans="1:14" x14ac:dyDescent="0.2">
      <c r="A7">
        <v>0.99692650589548515</v>
      </c>
      <c r="B7">
        <v>1.1468726205871154</v>
      </c>
      <c r="C7">
        <f t="shared" si="0"/>
        <v>1.0322365519435135</v>
      </c>
      <c r="D7">
        <f t="shared" si="1"/>
        <v>1.1874935939534306</v>
      </c>
      <c r="F7">
        <v>1.3842711713146589</v>
      </c>
      <c r="G7">
        <v>1.3813599012245081</v>
      </c>
      <c r="H7">
        <f t="shared" si="2"/>
        <v>1.1976098860793962</v>
      </c>
      <c r="I7">
        <f t="shared" si="3"/>
        <v>1.1950911846043806</v>
      </c>
      <c r="K7">
        <v>1.0790273703617785</v>
      </c>
      <c r="L7">
        <v>1.3743516343553059</v>
      </c>
      <c r="M7">
        <f t="shared" si="4"/>
        <v>0.99736128409344638</v>
      </c>
      <c r="N7">
        <f t="shared" si="5"/>
        <v>1.2703339586065876</v>
      </c>
    </row>
    <row r="8" spans="1:14" x14ac:dyDescent="0.2">
      <c r="A8">
        <v>1.1121672183126061</v>
      </c>
      <c r="B8">
        <v>1.1822132025430749</v>
      </c>
      <c r="C8">
        <f t="shared" si="0"/>
        <v>1.1515589643034012</v>
      </c>
      <c r="D8">
        <f t="shared" si="1"/>
        <v>1.2240859006542428</v>
      </c>
      <c r="F8">
        <v>1.5582998716571335</v>
      </c>
      <c r="G8">
        <v>1.5559717726612259</v>
      </c>
      <c r="H8">
        <f t="shared" si="2"/>
        <v>1.3481717819785637</v>
      </c>
      <c r="I8">
        <f t="shared" si="3"/>
        <v>1.3461576142121263</v>
      </c>
      <c r="K8">
        <v>1.1719006290387828</v>
      </c>
      <c r="L8">
        <v>1.9113565171201652</v>
      </c>
      <c r="M8">
        <f t="shared" si="4"/>
        <v>1.083205438816772</v>
      </c>
      <c r="N8">
        <f t="shared" si="5"/>
        <v>1.7666956767150332</v>
      </c>
    </row>
    <row r="9" spans="1:14" x14ac:dyDescent="0.2">
      <c r="A9">
        <v>1.0131643090332101</v>
      </c>
      <c r="B9">
        <v>1.1935242850012073</v>
      </c>
      <c r="C9">
        <f t="shared" si="0"/>
        <v>1.049049480301725</v>
      </c>
      <c r="D9">
        <f t="shared" si="1"/>
        <v>1.23579760927698</v>
      </c>
      <c r="F9">
        <v>0.8547806377186089</v>
      </c>
      <c r="G9">
        <v>1.2129848083991537</v>
      </c>
      <c r="H9">
        <f t="shared" si="2"/>
        <v>0.73951821245315874</v>
      </c>
      <c r="I9">
        <f t="shared" si="3"/>
        <v>1.0494205386241762</v>
      </c>
      <c r="K9">
        <v>0.9730616725314839</v>
      </c>
      <c r="L9">
        <v>1.6664289192594235</v>
      </c>
      <c r="M9">
        <f t="shared" si="4"/>
        <v>0.89941559025766704</v>
      </c>
      <c r="N9">
        <f t="shared" si="5"/>
        <v>1.5403054013410089</v>
      </c>
    </row>
    <row r="10" spans="1:14" x14ac:dyDescent="0.2">
      <c r="A10">
        <v>0.94453020356326056</v>
      </c>
      <c r="B10">
        <v>1.2048222575329075</v>
      </c>
      <c r="C10">
        <f t="shared" si="0"/>
        <v>0.97798442991228784</v>
      </c>
      <c r="D10">
        <f t="shared" si="1"/>
        <v>1.247495743634035</v>
      </c>
      <c r="F10">
        <v>1.1512977992224755</v>
      </c>
      <c r="G10">
        <v>1.2404438247302179</v>
      </c>
      <c r="H10">
        <f t="shared" si="2"/>
        <v>0.99605168029384028</v>
      </c>
      <c r="I10">
        <f t="shared" si="3"/>
        <v>1.0731768589908472</v>
      </c>
      <c r="K10">
        <v>1.1894197102548962</v>
      </c>
      <c r="L10">
        <v>1.6000678837149991</v>
      </c>
      <c r="M10">
        <f t="shared" si="4"/>
        <v>1.0993985899988241</v>
      </c>
      <c r="N10">
        <f t="shared" si="5"/>
        <v>1.4789668946058487</v>
      </c>
    </row>
    <row r="11" spans="1:14" x14ac:dyDescent="0.2">
      <c r="A11">
        <v>0.92205004467970142</v>
      </c>
      <c r="B11">
        <v>1.440268528274782</v>
      </c>
      <c r="C11">
        <f t="shared" si="0"/>
        <v>0.9547080483978212</v>
      </c>
      <c r="D11">
        <f t="shared" si="1"/>
        <v>1.4912812636711867</v>
      </c>
      <c r="F11">
        <v>0.88596914582871755</v>
      </c>
      <c r="G11">
        <v>0.95150120506349922</v>
      </c>
      <c r="H11">
        <f t="shared" si="2"/>
        <v>0.76650112332983344</v>
      </c>
      <c r="I11">
        <f t="shared" si="3"/>
        <v>0.82319654805660858</v>
      </c>
      <c r="K11">
        <v>1.1210970754252321</v>
      </c>
      <c r="L11">
        <v>1.5476427100358285</v>
      </c>
      <c r="M11">
        <f t="shared" si="4"/>
        <v>1.0362469474380662</v>
      </c>
      <c r="N11">
        <f t="shared" si="5"/>
        <v>1.4305095153255172</v>
      </c>
    </row>
    <row r="12" spans="1:14" x14ac:dyDescent="0.2">
      <c r="A12">
        <v>0.83984912037728976</v>
      </c>
      <c r="B12">
        <v>0.93416126798192944</v>
      </c>
      <c r="C12">
        <f t="shared" si="0"/>
        <v>0.86959565729706068</v>
      </c>
      <c r="D12">
        <f t="shared" si="1"/>
        <v>0.96724823797787485</v>
      </c>
      <c r="F12">
        <v>1.5015057566100551</v>
      </c>
      <c r="G12">
        <v>1.2223374199949748</v>
      </c>
      <c r="H12">
        <f t="shared" si="2"/>
        <v>1.2990360381582868</v>
      </c>
      <c r="I12">
        <f t="shared" si="3"/>
        <v>1.0575120024499949</v>
      </c>
      <c r="K12">
        <v>0.94247429030370222</v>
      </c>
      <c r="L12">
        <v>1.9011505302133072</v>
      </c>
      <c r="M12">
        <f t="shared" si="4"/>
        <v>0.87114321121177773</v>
      </c>
      <c r="N12">
        <f t="shared" si="5"/>
        <v>1.7572621289789347</v>
      </c>
    </row>
    <row r="13" spans="1:14" x14ac:dyDescent="0.2">
      <c r="A13">
        <v>0.89576458276102644</v>
      </c>
      <c r="B13">
        <v>1.5367279172966184</v>
      </c>
      <c r="C13">
        <f t="shared" si="0"/>
        <v>0.92749158417832123</v>
      </c>
      <c r="D13">
        <f t="shared" si="1"/>
        <v>1.5911571387107826</v>
      </c>
      <c r="F13">
        <v>1.1216700503264703</v>
      </c>
      <c r="G13">
        <v>1.4766809926109554</v>
      </c>
      <c r="H13">
        <f t="shared" si="2"/>
        <v>0.97041906891290997</v>
      </c>
      <c r="I13">
        <f t="shared" si="3"/>
        <v>1.2775587558157857</v>
      </c>
      <c r="K13">
        <v>1.0855113668508647</v>
      </c>
      <c r="L13">
        <v>1.5754571114961986</v>
      </c>
      <c r="M13">
        <f t="shared" si="4"/>
        <v>1.0033545399107147</v>
      </c>
      <c r="N13">
        <f t="shared" si="5"/>
        <v>1.4562187863957259</v>
      </c>
    </row>
    <row r="14" spans="1:14" x14ac:dyDescent="0.2">
      <c r="A14">
        <v>0.72353013672533917</v>
      </c>
      <c r="B14">
        <v>0.98672687545032067</v>
      </c>
      <c r="C14">
        <f t="shared" si="0"/>
        <v>0.74915678251500017</v>
      </c>
      <c r="D14">
        <f t="shared" si="1"/>
        <v>1.0216756617479443</v>
      </c>
      <c r="F14">
        <v>1.0598575027114492</v>
      </c>
      <c r="G14">
        <v>1.7929317630290413</v>
      </c>
      <c r="H14">
        <f t="shared" si="2"/>
        <v>0.91694160030594773</v>
      </c>
      <c r="I14">
        <f t="shared" si="3"/>
        <v>1.55116486492317</v>
      </c>
      <c r="K14">
        <v>1.1034409107747167</v>
      </c>
      <c r="L14">
        <v>1.6531757232744024</v>
      </c>
      <c r="M14">
        <f t="shared" si="4"/>
        <v>1.019927087968608</v>
      </c>
      <c r="N14">
        <f t="shared" si="5"/>
        <v>1.5280552722626974</v>
      </c>
    </row>
    <row r="15" spans="1:14" x14ac:dyDescent="0.2">
      <c r="A15">
        <v>0.95561483265332314</v>
      </c>
      <c r="B15">
        <v>1.8328273243224198</v>
      </c>
      <c r="C15">
        <f t="shared" si="0"/>
        <v>0.98946166443643291</v>
      </c>
      <c r="D15">
        <f t="shared" si="1"/>
        <v>1.8977440627551867</v>
      </c>
      <c r="F15">
        <v>1.0552149761927136</v>
      </c>
      <c r="G15">
        <v>1.187555679775792</v>
      </c>
      <c r="H15">
        <f t="shared" si="2"/>
        <v>0.91292509272387967</v>
      </c>
      <c r="I15">
        <f t="shared" si="3"/>
        <v>1.0274203868729845</v>
      </c>
      <c r="K15">
        <v>0.98491218546607107</v>
      </c>
      <c r="L15">
        <v>1.411821002475365</v>
      </c>
      <c r="M15">
        <f t="shared" si="4"/>
        <v>0.91036919822188678</v>
      </c>
      <c r="N15">
        <f t="shared" si="5"/>
        <v>1.3049674610819348</v>
      </c>
    </row>
    <row r="16" spans="1:14" x14ac:dyDescent="0.2">
      <c r="A16">
        <v>1.0586304373696738</v>
      </c>
      <c r="B16">
        <v>1.3304861927854132</v>
      </c>
      <c r="C16">
        <f t="shared" si="0"/>
        <v>1.0961259691569352</v>
      </c>
      <c r="D16">
        <f t="shared" si="1"/>
        <v>1.3776105579775293</v>
      </c>
      <c r="F16">
        <v>1.1770519538830131</v>
      </c>
      <c r="G16">
        <v>1.4927409225827517</v>
      </c>
      <c r="H16">
        <f t="shared" si="2"/>
        <v>1.0183330301248745</v>
      </c>
      <c r="I16">
        <f t="shared" si="3"/>
        <v>1.2914530933578294</v>
      </c>
      <c r="K16">
        <v>0.98206453943365379</v>
      </c>
      <c r="L16">
        <v>1.3702299513456497</v>
      </c>
      <c r="M16">
        <f t="shared" si="4"/>
        <v>0.90773707601484488</v>
      </c>
      <c r="N16">
        <f t="shared" si="5"/>
        <v>1.2665242247925523</v>
      </c>
    </row>
    <row r="17" spans="1:14" x14ac:dyDescent="0.2">
      <c r="A17">
        <v>1.0666767367722361</v>
      </c>
      <c r="B17">
        <v>1.2510891652962257</v>
      </c>
      <c r="C17">
        <f t="shared" si="0"/>
        <v>1.1044572596804483</v>
      </c>
      <c r="D17">
        <f t="shared" si="1"/>
        <v>1.2954013746472233</v>
      </c>
      <c r="F17">
        <v>1.2191251775150349</v>
      </c>
      <c r="G17">
        <v>1.224533611502288</v>
      </c>
      <c r="H17">
        <f t="shared" si="2"/>
        <v>1.0547329130416627</v>
      </c>
      <c r="I17">
        <f t="shared" si="3"/>
        <v>1.0594120497206347</v>
      </c>
      <c r="K17">
        <v>0.97179817466253571</v>
      </c>
      <c r="L17">
        <v>1.7903883209259728</v>
      </c>
      <c r="M17">
        <f t="shared" si="4"/>
        <v>0.89824772010753273</v>
      </c>
      <c r="N17">
        <f t="shared" si="5"/>
        <v>1.6548829472100752</v>
      </c>
    </row>
    <row r="18" spans="1:14" x14ac:dyDescent="0.2">
      <c r="A18">
        <v>0.99175446393565747</v>
      </c>
      <c r="B18">
        <v>1.3965784426520722</v>
      </c>
      <c r="C18">
        <f t="shared" si="0"/>
        <v>1.0268813219164774</v>
      </c>
      <c r="D18">
        <f t="shared" si="1"/>
        <v>1.4460437230193879</v>
      </c>
      <c r="F18">
        <v>1.2815519921183269</v>
      </c>
      <c r="G18">
        <v>1.4410601479422063</v>
      </c>
      <c r="H18">
        <f t="shared" si="2"/>
        <v>1.1087418181424926</v>
      </c>
      <c r="I18">
        <f t="shared" si="3"/>
        <v>1.2467411843674994</v>
      </c>
      <c r="K18">
        <v>0.87708271532599358</v>
      </c>
      <c r="L18">
        <v>1.7225650535475916</v>
      </c>
      <c r="M18">
        <f t="shared" si="4"/>
        <v>0.81070079151041874</v>
      </c>
      <c r="N18">
        <f t="shared" si="5"/>
        <v>1.5921928775214487</v>
      </c>
    </row>
    <row r="19" spans="1:14" x14ac:dyDescent="0.2">
      <c r="A19">
        <v>0.97602320419253552</v>
      </c>
      <c r="B19">
        <v>1.6656887022179481</v>
      </c>
      <c r="C19">
        <f t="shared" si="0"/>
        <v>1.0105928781656697</v>
      </c>
      <c r="D19">
        <f t="shared" si="1"/>
        <v>1.7246855735311104</v>
      </c>
      <c r="F19">
        <v>1.0977622084238718</v>
      </c>
      <c r="G19">
        <v>1.3156865688897825</v>
      </c>
      <c r="H19">
        <f t="shared" si="2"/>
        <v>0.94973506681079101</v>
      </c>
      <c r="I19">
        <f t="shared" si="3"/>
        <v>1.1382735366711731</v>
      </c>
      <c r="K19">
        <v>0.96868879849956702</v>
      </c>
      <c r="L19">
        <v>2.5746985722962541</v>
      </c>
      <c r="M19">
        <f t="shared" si="4"/>
        <v>0.89537367679055158</v>
      </c>
      <c r="N19">
        <f t="shared" si="5"/>
        <v>2.3798327500793448</v>
      </c>
    </row>
    <row r="20" spans="1:14" x14ac:dyDescent="0.2">
      <c r="A20">
        <v>0.89147750833718675</v>
      </c>
      <c r="B20">
        <v>1.1749732116292946</v>
      </c>
      <c r="C20">
        <f t="shared" si="0"/>
        <v>0.92305266626910731</v>
      </c>
      <c r="D20">
        <f t="shared" si="1"/>
        <v>1.2165894771839589</v>
      </c>
      <c r="F20">
        <v>0.95287820143025048</v>
      </c>
      <c r="G20">
        <v>1.309712592651249</v>
      </c>
      <c r="H20">
        <f t="shared" si="2"/>
        <v>0.82438786410514742</v>
      </c>
      <c r="I20">
        <f t="shared" si="3"/>
        <v>1.1331051179749456</v>
      </c>
      <c r="K20">
        <v>1.2407694347143399</v>
      </c>
      <c r="L20">
        <v>1.3784105935459048</v>
      </c>
      <c r="M20">
        <f t="shared" si="4"/>
        <v>1.1468619153336987</v>
      </c>
      <c r="N20">
        <f t="shared" si="5"/>
        <v>1.2740857158479828</v>
      </c>
    </row>
    <row r="21" spans="1:14" x14ac:dyDescent="0.2">
      <c r="A21">
        <v>1.0411276462137173</v>
      </c>
      <c r="B21">
        <v>1.2289400301508409</v>
      </c>
      <c r="C21">
        <f t="shared" si="0"/>
        <v>1.0780032482889779</v>
      </c>
      <c r="D21">
        <f t="shared" si="1"/>
        <v>1.2724677413695462</v>
      </c>
      <c r="F21">
        <v>1.1131225660899253</v>
      </c>
      <c r="G21">
        <v>1.3396959220131415</v>
      </c>
      <c r="H21">
        <f t="shared" si="2"/>
        <v>0.96302416549014191</v>
      </c>
      <c r="I21">
        <f t="shared" si="3"/>
        <v>1.1590453617692844</v>
      </c>
      <c r="K21">
        <v>1.0444708107587943</v>
      </c>
      <c r="L21">
        <v>1.4775229338658931</v>
      </c>
      <c r="M21">
        <f t="shared" si="4"/>
        <v>0.96542013449320185</v>
      </c>
      <c r="N21">
        <f t="shared" si="5"/>
        <v>1.3656967478998456</v>
      </c>
    </row>
    <row r="22" spans="1:14" x14ac:dyDescent="0.2">
      <c r="A22">
        <v>0.86881728906332878</v>
      </c>
      <c r="B22">
        <v>1.2872323386365041</v>
      </c>
      <c r="C22">
        <f t="shared" si="0"/>
        <v>0.89958984682233134</v>
      </c>
      <c r="D22">
        <f t="shared" si="1"/>
        <v>1.3328246996410287</v>
      </c>
      <c r="K22">
        <v>0.85118200771265329</v>
      </c>
      <c r="L22">
        <v>1.6220781427809599</v>
      </c>
      <c r="M22">
        <f t="shared" si="4"/>
        <v>0.78676037654623776</v>
      </c>
      <c r="N22">
        <f t="shared" si="5"/>
        <v>1.4993113092594788</v>
      </c>
    </row>
    <row r="24" spans="1:14" x14ac:dyDescent="0.2">
      <c r="A24">
        <f>AVERAGE(A3:A22)</f>
        <v>0.96579267731958607</v>
      </c>
      <c r="C24">
        <f>AVERAGE(C3:C22)</f>
        <v>0.99999999722464883</v>
      </c>
      <c r="D24">
        <f>AVERAGE(D3:D22)</f>
        <v>1.3326184279762441</v>
      </c>
      <c r="F24">
        <f>AVERAGE(F3:F21)</f>
        <v>1.1558615123165237</v>
      </c>
      <c r="I24">
        <f>AVERAGE(I3:I21)</f>
        <v>1.1347000822593665</v>
      </c>
      <c r="K24">
        <f>AVERAGE(K3:K22)</f>
        <v>1.0818821492988842</v>
      </c>
      <c r="N24">
        <f>AVERAGE(N3:N22)</f>
        <v>1.5418377287138267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Rep1</vt:lpstr>
      <vt:lpstr>Rep2</vt:lpstr>
      <vt:lpstr>Rep3</vt:lpstr>
      <vt:lpstr>nuc_to_ cyto_normalised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2023-10-30T15:32:49Z</dcterms:created>
  <dcterms:modified xsi:type="dcterms:W3CDTF">2025-07-26T19:45:11Z</dcterms:modified>
</cp:coreProperties>
</file>